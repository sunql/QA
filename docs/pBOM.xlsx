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/>
  <mc:AlternateContent xmlns:mc="http://schemas.openxmlformats.org/markup-compatibility/2006">
    <mc:Choice Requires="x15">
      <x15ac:absPath xmlns:x15ac="http://schemas.microsoft.com/office/spreadsheetml/2010/11/ac" url="/Users/sunql/Desktop/"/>
    </mc:Choice>
  </mc:AlternateContent>
  <xr:revisionPtr revIDLastSave="0" documentId="13_ncr:1_{9A2D02AD-0532-AE44-B1B2-CA837FFC245A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KL" sheetId="4" r:id="rId1"/>
  </sheets>
  <definedNames>
    <definedName name="_xlnm._FilterDatabase" localSheetId="0" hidden="1">KL!$A$2:$BH$35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4" l="1"/>
  <c r="V21" i="4" s="1"/>
  <c r="Y21" i="4" s="1"/>
  <c r="T20" i="4"/>
  <c r="V20" i="4" s="1"/>
  <c r="Y20" i="4" s="1"/>
  <c r="T19" i="4"/>
  <c r="V19" i="4" s="1"/>
  <c r="Y19" i="4" s="1"/>
  <c r="AE10" i="4"/>
  <c r="AE11" i="4" s="1"/>
  <c r="AE9" i="4"/>
  <c r="AE8" i="4"/>
  <c r="AE4" i="4"/>
  <c r="AE3" i="4"/>
  <c r="AO27" i="4"/>
  <c r="T27" i="4"/>
  <c r="V27" i="4" s="1"/>
  <c r="Y27" i="4" s="1"/>
  <c r="T26" i="4"/>
  <c r="V26" i="4" s="1"/>
  <c r="Y26" i="4" s="1"/>
  <c r="AO24" i="4"/>
  <c r="T24" i="4"/>
  <c r="V24" i="4" s="1"/>
  <c r="Y24" i="4" s="1"/>
  <c r="T16" i="4"/>
  <c r="V16" i="4" s="1"/>
  <c r="Y16" i="4" s="1"/>
  <c r="T15" i="4"/>
  <c r="V15" i="4" s="1"/>
  <c r="Y15" i="4" s="1"/>
  <c r="T14" i="4"/>
  <c r="V14" i="4" s="1"/>
  <c r="Y14" i="4" s="1"/>
  <c r="T18" i="4"/>
  <c r="V18" i="4" s="1"/>
  <c r="Y18" i="4" s="1"/>
  <c r="AO13" i="4"/>
  <c r="T13" i="4"/>
  <c r="V13" i="4" s="1"/>
  <c r="Y13" i="4" s="1"/>
  <c r="T12" i="4"/>
  <c r="V12" i="4" s="1"/>
  <c r="Y12" i="4" s="1"/>
  <c r="T11" i="4"/>
  <c r="V11" i="4" s="1"/>
  <c r="Y11" i="4" s="1"/>
  <c r="T9" i="4"/>
  <c r="V9" i="4" s="1"/>
  <c r="Y9" i="4" s="1"/>
  <c r="T8" i="4"/>
  <c r="V8" i="4" s="1"/>
  <c r="Y8" i="4" s="1"/>
  <c r="T4" i="4"/>
  <c r="V4" i="4" s="1"/>
  <c r="Y4" i="4" s="1"/>
  <c r="T3" i="4"/>
  <c r="V3" i="4" s="1"/>
  <c r="Y3" i="4" s="1"/>
  <c r="AE26" i="4" l="1"/>
  <c r="AE27" i="4" s="1"/>
  <c r="AE12" i="4"/>
  <c r="AE13" i="4" s="1"/>
  <c r="AE24" i="4"/>
</calcChain>
</file>

<file path=xl/sharedStrings.xml><?xml version="1.0" encoding="utf-8"?>
<sst xmlns="http://schemas.openxmlformats.org/spreadsheetml/2006/main" count="309" uniqueCount="153">
  <si>
    <t>冲压</t>
    <phoneticPr fontId="1" type="noConversion"/>
  </si>
  <si>
    <t>焊接</t>
    <phoneticPr fontId="1" type="noConversion"/>
  </si>
  <si>
    <t>组装</t>
    <phoneticPr fontId="1" type="noConversion"/>
  </si>
  <si>
    <t>注塑</t>
    <phoneticPr fontId="1" type="noConversion"/>
  </si>
  <si>
    <t>序号</t>
    <phoneticPr fontId="1" type="noConversion"/>
  </si>
  <si>
    <t>产品名称</t>
    <phoneticPr fontId="1" type="noConversion"/>
  </si>
  <si>
    <t>工序</t>
    <phoneticPr fontId="1" type="noConversion"/>
  </si>
  <si>
    <t>备注</t>
    <phoneticPr fontId="1" type="noConversion"/>
  </si>
  <si>
    <t>落料</t>
    <phoneticPr fontId="1" type="noConversion"/>
  </si>
  <si>
    <t>空心踏板臂-左</t>
    <phoneticPr fontId="1" type="noConversion"/>
  </si>
  <si>
    <t>空心踏板臂-右</t>
    <phoneticPr fontId="1" type="noConversion"/>
  </si>
  <si>
    <t>空心踏板臂-左/右</t>
    <phoneticPr fontId="1" type="noConversion"/>
  </si>
  <si>
    <t>成型</t>
    <phoneticPr fontId="1" type="noConversion"/>
  </si>
  <si>
    <t>翻边</t>
    <phoneticPr fontId="1" type="noConversion"/>
  </si>
  <si>
    <t>冲孔</t>
    <phoneticPr fontId="1" type="noConversion"/>
  </si>
  <si>
    <t>设备</t>
    <phoneticPr fontId="1" type="noConversion"/>
  </si>
  <si>
    <t>JH21-250</t>
    <phoneticPr fontId="1" type="noConversion"/>
  </si>
  <si>
    <t>单次出件数量</t>
    <phoneticPr fontId="1" type="noConversion"/>
  </si>
  <si>
    <t>加工工艺</t>
    <phoneticPr fontId="1" type="noConversion"/>
  </si>
  <si>
    <t>踏板片</t>
    <phoneticPr fontId="1" type="noConversion"/>
  </si>
  <si>
    <t>落料成型</t>
    <phoneticPr fontId="1" type="noConversion"/>
  </si>
  <si>
    <t>2</t>
    <phoneticPr fontId="1" type="noConversion"/>
  </si>
  <si>
    <t>球窝支架</t>
    <phoneticPr fontId="1" type="noConversion"/>
  </si>
  <si>
    <t>球窝罩壳</t>
    <phoneticPr fontId="1" type="noConversion"/>
  </si>
  <si>
    <t>连续冲压</t>
    <phoneticPr fontId="1" type="noConversion"/>
  </si>
  <si>
    <t>SP2-250</t>
    <phoneticPr fontId="1" type="noConversion"/>
  </si>
  <si>
    <t>理论OEE</t>
    <phoneticPr fontId="1" type="noConversion"/>
  </si>
  <si>
    <t>小时出件数</t>
    <phoneticPr fontId="1" type="noConversion"/>
  </si>
  <si>
    <t>原材料材质</t>
    <phoneticPr fontId="1" type="noConversion"/>
  </si>
  <si>
    <t>原材料尺寸</t>
    <phoneticPr fontId="1" type="noConversion"/>
  </si>
  <si>
    <t>料片出件数量</t>
    <phoneticPr fontId="1" type="noConversion"/>
  </si>
  <si>
    <t xml:space="preserve">HC420/780DP </t>
    <phoneticPr fontId="1" type="noConversion"/>
  </si>
  <si>
    <t>材料密度
g/cm3</t>
    <phoneticPr fontId="1" type="noConversion"/>
  </si>
  <si>
    <t>单件毛重
g</t>
    <phoneticPr fontId="1" type="noConversion"/>
  </si>
  <si>
    <t>理论重量
g</t>
    <phoneticPr fontId="1" type="noConversion"/>
  </si>
  <si>
    <t>单件净重
g</t>
    <phoneticPr fontId="1" type="noConversion"/>
  </si>
  <si>
    <t>长
mm</t>
    <phoneticPr fontId="1" type="noConversion"/>
  </si>
  <si>
    <t>宽
mm</t>
    <phoneticPr fontId="1" type="noConversion"/>
  </si>
  <si>
    <t>厚度
mm</t>
    <phoneticPr fontId="1" type="noConversion"/>
  </si>
  <si>
    <t>节拍
s</t>
    <phoneticPr fontId="1" type="noConversion"/>
  </si>
  <si>
    <t>单次加工时间 s</t>
    <phoneticPr fontId="1" type="noConversion"/>
  </si>
  <si>
    <t>SAPH440</t>
    <phoneticPr fontId="1" type="noConversion"/>
  </si>
  <si>
    <t>C</t>
    <phoneticPr fontId="1" type="noConversion"/>
  </si>
  <si>
    <t>步进</t>
    <phoneticPr fontId="1" type="noConversion"/>
  </si>
  <si>
    <t>每次步进出件</t>
    <phoneticPr fontId="1" type="noConversion"/>
  </si>
  <si>
    <t>毛重未加头尾料</t>
    <phoneticPr fontId="1" type="noConversion"/>
  </si>
  <si>
    <t>保护焊</t>
    <phoneticPr fontId="1" type="noConversion"/>
  </si>
  <si>
    <t>MA1440</t>
    <phoneticPr fontId="1" type="noConversion"/>
  </si>
  <si>
    <t>踏板罩</t>
    <phoneticPr fontId="1" type="noConversion"/>
  </si>
  <si>
    <t>主支架</t>
    <phoneticPr fontId="1" type="noConversion"/>
  </si>
  <si>
    <t>制动踏板总成</t>
    <phoneticPr fontId="1" type="noConversion"/>
  </si>
  <si>
    <t>总成组装</t>
    <phoneticPr fontId="1" type="noConversion"/>
  </si>
  <si>
    <t>组装生产线</t>
    <phoneticPr fontId="1" type="noConversion"/>
  </si>
  <si>
    <t>操作工人数</t>
    <phoneticPr fontId="1" type="noConversion"/>
  </si>
  <si>
    <t>PP+GF40(P708BK)</t>
    <phoneticPr fontId="1" type="noConversion"/>
  </si>
  <si>
    <t>MA1600Ⅲ</t>
    <phoneticPr fontId="1" type="noConversion"/>
  </si>
  <si>
    <t>MA3800Ⅲ</t>
    <phoneticPr fontId="1" type="noConversion"/>
  </si>
  <si>
    <t>产线数量</t>
    <phoneticPr fontId="1" type="noConversion"/>
  </si>
  <si>
    <t>小时/天</t>
    <phoneticPr fontId="1" type="noConversion"/>
  </si>
  <si>
    <t>日产能</t>
    <phoneticPr fontId="1" type="noConversion"/>
  </si>
  <si>
    <t>踏板臂组件</t>
    <phoneticPr fontId="1" type="noConversion"/>
  </si>
  <si>
    <t>电泳</t>
    <phoneticPr fontId="1" type="noConversion"/>
  </si>
  <si>
    <t>委外</t>
    <phoneticPr fontId="1" type="noConversion"/>
  </si>
  <si>
    <t>耗材1消耗数量</t>
    <phoneticPr fontId="1" type="noConversion"/>
  </si>
  <si>
    <t>耗材2消耗数量</t>
    <phoneticPr fontId="1" type="noConversion"/>
  </si>
  <si>
    <t>耗材1规格型号</t>
    <phoneticPr fontId="1" type="noConversion"/>
  </si>
  <si>
    <t>耗材2规格型号</t>
    <phoneticPr fontId="1" type="noConversion"/>
  </si>
  <si>
    <t>焊丝</t>
    <phoneticPr fontId="1" type="noConversion"/>
  </si>
  <si>
    <t>保护气体</t>
    <phoneticPr fontId="1" type="noConversion"/>
  </si>
  <si>
    <t>包材1规格型号</t>
    <phoneticPr fontId="1" type="noConversion"/>
  </si>
  <si>
    <t>包材1消耗数量</t>
    <phoneticPr fontId="1" type="noConversion"/>
  </si>
  <si>
    <t>包材2规格型号</t>
  </si>
  <si>
    <t>包材2消耗数量</t>
  </si>
  <si>
    <t>包材3规格型号</t>
  </si>
  <si>
    <t>包材3消耗数量</t>
  </si>
  <si>
    <t>包材4规格型号</t>
  </si>
  <si>
    <t>包材4消耗数量</t>
  </si>
  <si>
    <t>包材5规格型号</t>
  </si>
  <si>
    <t>包材5消耗数量</t>
  </si>
  <si>
    <t>整托包装数</t>
    <phoneticPr fontId="1" type="noConversion"/>
  </si>
  <si>
    <t xml:space="preserve">气泡袋
</t>
    <phoneticPr fontId="1" type="noConversion"/>
  </si>
  <si>
    <t xml:space="preserve">纸隔板1
</t>
    <phoneticPr fontId="1" type="noConversion"/>
  </si>
  <si>
    <t xml:space="preserve">纸隔板2
</t>
    <phoneticPr fontId="1" type="noConversion"/>
  </si>
  <si>
    <t>整托包装（一次性包材）</t>
    <phoneticPr fontId="1" type="noConversion"/>
  </si>
  <si>
    <t>层级</t>
    <phoneticPr fontId="1" type="noConversion"/>
  </si>
  <si>
    <t>1.4.1</t>
    <phoneticPr fontId="1" type="noConversion"/>
  </si>
  <si>
    <t>1.4.1.1</t>
    <phoneticPr fontId="1" type="noConversion"/>
  </si>
  <si>
    <t>1.4.1.1.1</t>
    <phoneticPr fontId="1" type="noConversion"/>
  </si>
  <si>
    <t>1.4.1.2</t>
    <phoneticPr fontId="1" type="noConversion"/>
  </si>
  <si>
    <t>1.4.1.3</t>
    <phoneticPr fontId="1" type="noConversion"/>
  </si>
  <si>
    <t>1.4.1.3.1</t>
    <phoneticPr fontId="1" type="noConversion"/>
  </si>
  <si>
    <t>发货日前多少天生产</t>
    <phoneticPr fontId="1" type="noConversion"/>
  </si>
  <si>
    <t>/</t>
    <phoneticPr fontId="1" type="noConversion"/>
  </si>
  <si>
    <t>中转（库存）天数</t>
    <phoneticPr fontId="1" type="noConversion"/>
  </si>
  <si>
    <t>1.1.1</t>
    <phoneticPr fontId="1" type="noConversion"/>
  </si>
  <si>
    <t>空心踏板臂组件</t>
    <phoneticPr fontId="1" type="noConversion"/>
  </si>
  <si>
    <t>踏板臂焊接组件</t>
    <phoneticPr fontId="1" type="noConversion"/>
  </si>
  <si>
    <t>阴极电泳膜厚≥12um，中性盐雾96小时无红锈</t>
    <phoneticPr fontId="1" type="noConversion"/>
  </si>
  <si>
    <t>表面处理</t>
    <phoneticPr fontId="1" type="noConversion"/>
  </si>
  <si>
    <t>1.4.1.4</t>
    <phoneticPr fontId="1" type="noConversion"/>
  </si>
  <si>
    <t>外轴</t>
    <phoneticPr fontId="1" type="noConversion"/>
  </si>
  <si>
    <t>自制/外购/外协</t>
    <phoneticPr fontId="1" type="noConversion"/>
  </si>
  <si>
    <t>自制</t>
    <phoneticPr fontId="1" type="noConversion"/>
  </si>
  <si>
    <t>外协</t>
    <phoneticPr fontId="1" type="noConversion"/>
  </si>
  <si>
    <t>外购</t>
    <phoneticPr fontId="1" type="noConversion"/>
  </si>
  <si>
    <t>球窝垫片</t>
    <phoneticPr fontId="1" type="noConversion"/>
  </si>
  <si>
    <t>润滑轴套</t>
    <phoneticPr fontId="1" type="noConversion"/>
  </si>
  <si>
    <t>单耗</t>
    <phoneticPr fontId="1" type="noConversion"/>
  </si>
  <si>
    <t>回转轴</t>
    <phoneticPr fontId="1" type="noConversion"/>
  </si>
  <si>
    <t>防松挡卡</t>
    <phoneticPr fontId="1" type="noConversion"/>
  </si>
  <si>
    <t>物料号</t>
    <phoneticPr fontId="1" type="noConversion"/>
  </si>
  <si>
    <t>底部金属衬套-小</t>
    <phoneticPr fontId="1" type="noConversion"/>
  </si>
  <si>
    <t>底部金属衬套-长</t>
    <phoneticPr fontId="1" type="noConversion"/>
  </si>
  <si>
    <t>底部金属衬套-大</t>
    <phoneticPr fontId="1" type="noConversion"/>
  </si>
  <si>
    <t>1.1.2</t>
  </si>
  <si>
    <t>1.1.3</t>
  </si>
  <si>
    <t>7196B1000001</t>
    <phoneticPr fontId="2" type="noConversion"/>
  </si>
  <si>
    <t>69F196B00002</t>
    <phoneticPr fontId="2" type="noConversion"/>
  </si>
  <si>
    <t>5B9900000046</t>
    <phoneticPr fontId="2" type="noConversion"/>
  </si>
  <si>
    <t>5B9900000044</t>
    <phoneticPr fontId="2" type="noConversion"/>
  </si>
  <si>
    <t>5B9900000045</t>
    <phoneticPr fontId="2" type="noConversion"/>
  </si>
  <si>
    <t>48196B000001</t>
    <phoneticPr fontId="2" type="noConversion"/>
  </si>
  <si>
    <t>44196B000003</t>
    <phoneticPr fontId="2" type="noConversion"/>
  </si>
  <si>
    <t>44196B000002</t>
    <phoneticPr fontId="2" type="noConversion"/>
  </si>
  <si>
    <t>41196B000002</t>
    <phoneticPr fontId="2" type="noConversion"/>
  </si>
  <si>
    <t>41196B000003</t>
    <phoneticPr fontId="2" type="noConversion"/>
  </si>
  <si>
    <t>4910102070001601</t>
    <phoneticPr fontId="2" type="noConversion"/>
  </si>
  <si>
    <t>503114470001</t>
    <phoneticPr fontId="2" type="noConversion"/>
  </si>
  <si>
    <t>4910102140001301</t>
    <phoneticPr fontId="2" type="noConversion"/>
  </si>
  <si>
    <t>504612220002</t>
    <phoneticPr fontId="2" type="noConversion"/>
  </si>
  <si>
    <t>版本</t>
    <phoneticPr fontId="1" type="noConversion"/>
  </si>
  <si>
    <t>链接EBOM</t>
    <phoneticPr fontId="1" type="noConversion"/>
  </si>
  <si>
    <t>4910102070000901</t>
    <phoneticPr fontId="2" type="noConversion"/>
  </si>
  <si>
    <t>41101B000112</t>
    <phoneticPr fontId="1" type="noConversion"/>
  </si>
  <si>
    <t>41196B000001</t>
    <phoneticPr fontId="1" type="noConversion"/>
  </si>
  <si>
    <t>69F196B00003</t>
    <phoneticPr fontId="2" type="noConversion"/>
  </si>
  <si>
    <t>604400000004</t>
    <phoneticPr fontId="2" type="noConversion"/>
  </si>
  <si>
    <r>
      <t>P</t>
    </r>
    <r>
      <rPr>
        <sz val="10"/>
        <rFont val="宋体"/>
        <family val="3"/>
        <charset val="134"/>
      </rPr>
      <t>VC A165162
(星钻黑）</t>
    </r>
    <phoneticPr fontId="1" type="noConversion"/>
  </si>
  <si>
    <r>
      <t>P</t>
    </r>
    <r>
      <rPr>
        <sz val="10"/>
        <rFont val="宋体"/>
        <family val="3"/>
        <charset val="134"/>
      </rPr>
      <t>OM M25-44
Q/MAM 4106</t>
    </r>
    <phoneticPr fontId="1" type="noConversion"/>
  </si>
  <si>
    <t>耗材</t>
    <phoneticPr fontId="1" type="noConversion"/>
  </si>
  <si>
    <t>工艺号</t>
    <phoneticPr fontId="1" type="noConversion"/>
  </si>
  <si>
    <t>OP10</t>
    <phoneticPr fontId="1" type="noConversion"/>
  </si>
  <si>
    <t>球窝罩壳-焊接</t>
    <phoneticPr fontId="1" type="noConversion"/>
  </si>
  <si>
    <t>1.4.1.1.1.1</t>
    <phoneticPr fontId="1" type="noConversion"/>
  </si>
  <si>
    <t>基地</t>
    <phoneticPr fontId="1" type="noConversion"/>
  </si>
  <si>
    <t>冲压原材料</t>
    <phoneticPr fontId="1" type="noConversion"/>
  </si>
  <si>
    <t>1.4.1.3.2</t>
    <phoneticPr fontId="1" type="noConversion"/>
  </si>
  <si>
    <t>1.4.1.3.1.1</t>
    <phoneticPr fontId="1" type="noConversion"/>
  </si>
  <si>
    <t>1.4.1.2.1</t>
    <phoneticPr fontId="1" type="noConversion"/>
  </si>
  <si>
    <t>1.4.1.5</t>
    <phoneticPr fontId="1" type="noConversion"/>
  </si>
  <si>
    <t>1.4.1.1.2</t>
    <phoneticPr fontId="1" type="noConversion"/>
  </si>
  <si>
    <t>1.4.1.1.2.1</t>
    <phoneticPr fontId="1" type="noConversion"/>
  </si>
  <si>
    <t>1.4.1.1.3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</si>
</sst>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_ "/>
    <numFmt numFmtId="178" formatCode="0.00_ "/>
    <numFmt numFmtId="179" formatCode="0_);[Red]\(0\)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1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49" fontId="4" fillId="6" borderId="6" xfId="1" applyNumberFormat="1" applyFont="1" applyFill="1" applyBorder="1" applyAlignment="1">
      <alignment horizontal="center" vertical="center" wrapText="1"/>
    </xf>
    <xf numFmtId="49" fontId="4" fillId="6" borderId="1" xfId="1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179" fontId="0" fillId="0" borderId="6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49" fontId="4" fillId="5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/>
    </xf>
    <xf numFmtId="49" fontId="0" fillId="4" borderId="4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</cellXfs>
  <cellStyles count="2">
    <cellStyle name="常规" xfId="0" builtinId="0"/>
    <cellStyle name="常规 2" xfId="1" xr:uid="{364705F2-3A27-4108-A81B-E2A2892E7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4C03-33F5-42B9-8026-F08F6C303DAA}">
  <dimension ref="A1:BH40"/>
  <sheetViews>
    <sheetView tabSelected="1" zoomScale="70" zoomScaleNormal="70" workbookViewId="0">
      <selection activeCell="M20" sqref="M20"/>
    </sheetView>
  </sheetViews>
  <sheetFormatPr baseColWidth="10" defaultColWidth="8.83203125" defaultRowHeight="15"/>
  <cols>
    <col min="1" max="1" width="5.5" customWidth="1"/>
    <col min="2" max="2" width="4.83203125" customWidth="1"/>
    <col min="3" max="3" width="6.5" customWidth="1"/>
    <col min="4" max="4" width="6" customWidth="1"/>
    <col min="5" max="5" width="7.5" customWidth="1"/>
    <col min="6" max="6" width="9.6640625" customWidth="1"/>
    <col min="7" max="7" width="9" customWidth="1"/>
    <col min="8" max="8" width="20.1640625" customWidth="1"/>
    <col min="9" max="9" width="9.83203125" hidden="1" customWidth="1"/>
    <col min="10" max="10" width="17" customWidth="1"/>
    <col min="11" max="11" width="9" customWidth="1"/>
    <col min="12" max="12" width="9.5" customWidth="1"/>
    <col min="13" max="14" width="10.83203125" customWidth="1"/>
    <col min="15" max="15" width="9.33203125" customWidth="1"/>
    <col min="16" max="16" width="11.5" customWidth="1"/>
    <col min="17" max="17" width="7" customWidth="1"/>
    <col min="18" max="18" width="9.33203125" customWidth="1"/>
    <col min="20" max="20" width="7.33203125" customWidth="1"/>
    <col min="21" max="21" width="8.83203125" customWidth="1"/>
    <col min="22" max="25" width="8.1640625" customWidth="1"/>
    <col min="26" max="30" width="5.5" customWidth="1"/>
    <col min="31" max="31" width="7.83203125" customWidth="1"/>
    <col min="32" max="32" width="8.1640625" customWidth="1"/>
    <col min="33" max="33" width="15.5" customWidth="1"/>
    <col min="34" max="34" width="7.33203125" customWidth="1"/>
    <col min="35" max="35" width="7.5" customWidth="1"/>
    <col min="36" max="36" width="6" customWidth="1"/>
    <col min="37" max="37" width="7.5" customWidth="1"/>
    <col min="38" max="38" width="5.83203125" customWidth="1"/>
    <col min="39" max="39" width="7.1640625" customWidth="1"/>
    <col min="40" max="40" width="9.1640625" customWidth="1"/>
    <col min="41" max="41" width="8.83203125" customWidth="1"/>
    <col min="42" max="42" width="9" customWidth="1"/>
    <col min="43" max="43" width="9.33203125" customWidth="1"/>
    <col min="44" max="44" width="20.83203125" customWidth="1"/>
    <col min="45" max="59" width="9.33203125" customWidth="1"/>
    <col min="60" max="60" width="16.1640625" customWidth="1"/>
  </cols>
  <sheetData>
    <row r="1" spans="1:60" ht="22.5" customHeight="1">
      <c r="B1" s="47" t="s">
        <v>84</v>
      </c>
      <c r="C1" s="47"/>
      <c r="D1" s="47"/>
      <c r="E1" s="47"/>
      <c r="F1" s="47"/>
      <c r="G1" s="1"/>
      <c r="H1" s="1"/>
      <c r="I1" s="1"/>
      <c r="Z1" s="47" t="s">
        <v>93</v>
      </c>
      <c r="AA1" s="47"/>
      <c r="AB1" s="47"/>
      <c r="AC1" s="47"/>
      <c r="AD1" s="47"/>
      <c r="AE1" s="48" t="s">
        <v>91</v>
      </c>
      <c r="AF1" s="11"/>
      <c r="AH1" s="55" t="s">
        <v>29</v>
      </c>
      <c r="AI1" s="55"/>
      <c r="AJ1" s="55"/>
      <c r="AK1" s="11"/>
      <c r="AL1" s="11"/>
      <c r="AM1" s="11"/>
      <c r="AN1" s="11"/>
      <c r="AS1" s="56" t="s">
        <v>139</v>
      </c>
      <c r="AT1" s="56"/>
      <c r="AU1" s="56"/>
      <c r="AV1" s="56"/>
      <c r="AW1" s="40" t="s">
        <v>83</v>
      </c>
      <c r="AX1" s="40"/>
      <c r="AY1" s="40"/>
      <c r="AZ1" s="40"/>
      <c r="BA1" s="40"/>
      <c r="BB1" s="40"/>
      <c r="BC1" s="40"/>
      <c r="BD1" s="40"/>
      <c r="BE1" s="40"/>
      <c r="BF1" s="40"/>
      <c r="BG1" s="40"/>
    </row>
    <row r="2" spans="1:60" s="1" customFormat="1" ht="31.5" customHeight="1">
      <c r="A2" s="2" t="s">
        <v>4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/>
      <c r="H2" s="2" t="s">
        <v>110</v>
      </c>
      <c r="I2" s="2" t="s">
        <v>130</v>
      </c>
      <c r="J2" s="2" t="s">
        <v>5</v>
      </c>
      <c r="K2" s="2" t="s">
        <v>107</v>
      </c>
      <c r="L2" s="3" t="s">
        <v>101</v>
      </c>
      <c r="M2" s="2" t="s">
        <v>18</v>
      </c>
      <c r="N2" s="2" t="s">
        <v>140</v>
      </c>
      <c r="O2" s="2" t="s">
        <v>6</v>
      </c>
      <c r="P2" s="2" t="s">
        <v>15</v>
      </c>
      <c r="Q2" s="3" t="s">
        <v>53</v>
      </c>
      <c r="R2" s="3" t="s">
        <v>40</v>
      </c>
      <c r="S2" s="3" t="s">
        <v>17</v>
      </c>
      <c r="T2" s="3" t="s">
        <v>39</v>
      </c>
      <c r="U2" s="3" t="s">
        <v>26</v>
      </c>
      <c r="V2" s="3" t="s">
        <v>27</v>
      </c>
      <c r="W2" s="3" t="s">
        <v>57</v>
      </c>
      <c r="X2" s="3" t="s">
        <v>58</v>
      </c>
      <c r="Y2" s="3" t="s">
        <v>59</v>
      </c>
      <c r="Z2" s="2">
        <v>1</v>
      </c>
      <c r="AA2" s="2">
        <v>2</v>
      </c>
      <c r="AB2" s="2">
        <v>3</v>
      </c>
      <c r="AC2" s="2">
        <v>4</v>
      </c>
      <c r="AD2" s="14">
        <v>5</v>
      </c>
      <c r="AE2" s="48"/>
      <c r="AF2" s="15" t="s">
        <v>144</v>
      </c>
      <c r="AG2" s="15" t="s">
        <v>28</v>
      </c>
      <c r="AH2" s="3" t="s">
        <v>36</v>
      </c>
      <c r="AI2" s="3" t="s">
        <v>37</v>
      </c>
      <c r="AJ2" s="3" t="s">
        <v>38</v>
      </c>
      <c r="AK2" s="3" t="s">
        <v>30</v>
      </c>
      <c r="AL2" s="3" t="s">
        <v>43</v>
      </c>
      <c r="AM2" s="3" t="s">
        <v>44</v>
      </c>
      <c r="AN2" s="3" t="s">
        <v>32</v>
      </c>
      <c r="AO2" s="3" t="s">
        <v>33</v>
      </c>
      <c r="AP2" s="3" t="s">
        <v>34</v>
      </c>
      <c r="AQ2" s="3" t="s">
        <v>35</v>
      </c>
      <c r="AR2" s="3" t="s">
        <v>98</v>
      </c>
      <c r="AS2" s="8" t="s">
        <v>65</v>
      </c>
      <c r="AT2" s="8" t="s">
        <v>63</v>
      </c>
      <c r="AU2" s="8" t="s">
        <v>66</v>
      </c>
      <c r="AV2" s="8" t="s">
        <v>64</v>
      </c>
      <c r="AW2" s="9" t="s">
        <v>79</v>
      </c>
      <c r="AX2" s="9" t="s">
        <v>69</v>
      </c>
      <c r="AY2" s="9" t="s">
        <v>70</v>
      </c>
      <c r="AZ2" s="9" t="s">
        <v>71</v>
      </c>
      <c r="BA2" s="9" t="s">
        <v>72</v>
      </c>
      <c r="BB2" s="9" t="s">
        <v>73</v>
      </c>
      <c r="BC2" s="9" t="s">
        <v>74</v>
      </c>
      <c r="BD2" s="9" t="s">
        <v>75</v>
      </c>
      <c r="BE2" s="9" t="s">
        <v>76</v>
      </c>
      <c r="BF2" s="9" t="s">
        <v>77</v>
      </c>
      <c r="BG2" s="9" t="s">
        <v>78</v>
      </c>
      <c r="BH2" s="2" t="s">
        <v>7</v>
      </c>
    </row>
    <row r="3" spans="1:60" s="1" customFormat="1" ht="24" customHeight="1">
      <c r="A3" s="2">
        <v>1</v>
      </c>
      <c r="B3" s="2">
        <v>1</v>
      </c>
      <c r="C3" s="2"/>
      <c r="D3" s="2"/>
      <c r="E3" s="2"/>
      <c r="F3" s="2"/>
      <c r="G3" s="2"/>
      <c r="H3" s="23" t="s">
        <v>116</v>
      </c>
      <c r="I3" s="23" t="s">
        <v>131</v>
      </c>
      <c r="J3" s="2" t="s">
        <v>50</v>
      </c>
      <c r="K3" s="2"/>
      <c r="L3" s="2" t="s">
        <v>102</v>
      </c>
      <c r="M3" s="2" t="s">
        <v>2</v>
      </c>
      <c r="N3" s="2"/>
      <c r="O3" s="2" t="s">
        <v>51</v>
      </c>
      <c r="P3" s="2" t="s">
        <v>52</v>
      </c>
      <c r="Q3" s="2">
        <v>4</v>
      </c>
      <c r="R3" s="2">
        <v>45</v>
      </c>
      <c r="S3" s="2">
        <v>1</v>
      </c>
      <c r="T3" s="2">
        <f>R3/S3</f>
        <v>45</v>
      </c>
      <c r="U3" s="5">
        <v>0.85</v>
      </c>
      <c r="V3" s="12">
        <f>3600*U3/T3</f>
        <v>68</v>
      </c>
      <c r="W3" s="12">
        <v>1</v>
      </c>
      <c r="X3" s="12">
        <v>20</v>
      </c>
      <c r="Y3" s="12">
        <f>V3*W3*X3</f>
        <v>1360</v>
      </c>
      <c r="Z3" s="13">
        <v>2</v>
      </c>
      <c r="AA3" s="13"/>
      <c r="AB3" s="13"/>
      <c r="AC3" s="13"/>
      <c r="AD3" s="13"/>
      <c r="AE3" s="13">
        <f>Z3</f>
        <v>2</v>
      </c>
      <c r="AF3" s="13"/>
      <c r="AG3" s="2" t="s">
        <v>92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>
        <v>80</v>
      </c>
      <c r="AX3" s="3" t="s">
        <v>80</v>
      </c>
      <c r="AY3" s="2">
        <v>32</v>
      </c>
      <c r="AZ3" s="3" t="s">
        <v>81</v>
      </c>
      <c r="BA3" s="2">
        <v>16</v>
      </c>
      <c r="BB3" s="3" t="s">
        <v>82</v>
      </c>
      <c r="BC3" s="2">
        <v>16</v>
      </c>
      <c r="BD3" s="2">
        <v>0</v>
      </c>
      <c r="BE3" s="2">
        <v>0</v>
      </c>
      <c r="BF3" s="2">
        <v>0</v>
      </c>
      <c r="BG3" s="2">
        <v>0</v>
      </c>
      <c r="BH3" s="2"/>
    </row>
    <row r="4" spans="1:60" s="1" customFormat="1" ht="25" customHeight="1">
      <c r="A4" s="2">
        <v>2</v>
      </c>
      <c r="B4" s="2"/>
      <c r="C4" s="2">
        <v>1.1000000000000001</v>
      </c>
      <c r="D4" s="2"/>
      <c r="E4" s="2"/>
      <c r="F4" s="2"/>
      <c r="G4" s="14"/>
      <c r="H4" s="24" t="s">
        <v>117</v>
      </c>
      <c r="I4" s="23" t="s">
        <v>131</v>
      </c>
      <c r="J4" s="2" t="s">
        <v>49</v>
      </c>
      <c r="K4" s="2">
        <v>1</v>
      </c>
      <c r="L4" s="2" t="s">
        <v>102</v>
      </c>
      <c r="M4" s="2" t="s">
        <v>3</v>
      </c>
      <c r="N4" s="2"/>
      <c r="O4" s="2" t="s">
        <v>3</v>
      </c>
      <c r="P4" s="2" t="s">
        <v>56</v>
      </c>
      <c r="Q4" s="2">
        <v>1</v>
      </c>
      <c r="R4" s="2">
        <v>98</v>
      </c>
      <c r="S4" s="2">
        <v>2</v>
      </c>
      <c r="T4" s="2">
        <f t="shared" ref="T4:T9" si="0">R4/S4</f>
        <v>49</v>
      </c>
      <c r="U4" s="5">
        <v>0.95</v>
      </c>
      <c r="V4" s="12">
        <f t="shared" ref="V4:V9" si="1">3600*U4/T4</f>
        <v>69.795918367346943</v>
      </c>
      <c r="W4" s="12">
        <v>1</v>
      </c>
      <c r="X4" s="12">
        <v>22</v>
      </c>
      <c r="Y4" s="12">
        <f>V4*W4*X4</f>
        <v>1535.5102040816328</v>
      </c>
      <c r="Z4" s="13"/>
      <c r="AA4" s="13">
        <v>2</v>
      </c>
      <c r="AB4" s="13"/>
      <c r="AC4" s="13"/>
      <c r="AD4" s="13"/>
      <c r="AE4" s="13">
        <f>Z3+AA4</f>
        <v>4</v>
      </c>
      <c r="AF4" s="13"/>
      <c r="AG4" s="2" t="s">
        <v>54</v>
      </c>
      <c r="AH4" s="2"/>
      <c r="AI4" s="2"/>
      <c r="AJ4" s="2"/>
      <c r="AK4" s="2"/>
      <c r="AL4" s="2"/>
      <c r="AM4" s="2"/>
      <c r="AN4" s="2"/>
      <c r="AO4" s="16"/>
      <c r="AP4" s="2">
        <v>324</v>
      </c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s="1" customFormat="1" ht="25" customHeight="1">
      <c r="A5" s="2">
        <v>3</v>
      </c>
      <c r="B5" s="2"/>
      <c r="C5" s="2"/>
      <c r="D5" s="2" t="s">
        <v>94</v>
      </c>
      <c r="E5" s="2"/>
      <c r="F5" s="2"/>
      <c r="G5" s="2"/>
      <c r="H5" s="25" t="s">
        <v>118</v>
      </c>
      <c r="I5" s="23" t="s">
        <v>131</v>
      </c>
      <c r="J5" s="2" t="s">
        <v>111</v>
      </c>
      <c r="K5" s="2">
        <v>1</v>
      </c>
      <c r="L5" s="2" t="s">
        <v>104</v>
      </c>
      <c r="M5" s="2" t="s">
        <v>92</v>
      </c>
      <c r="N5" s="2"/>
      <c r="O5" s="2" t="s">
        <v>92</v>
      </c>
      <c r="P5" s="2" t="s">
        <v>92</v>
      </c>
      <c r="Q5" s="2" t="s">
        <v>92</v>
      </c>
      <c r="R5" s="2" t="s">
        <v>92</v>
      </c>
      <c r="S5" s="2" t="s">
        <v>92</v>
      </c>
      <c r="T5" s="2"/>
      <c r="U5" s="5"/>
      <c r="V5" s="12"/>
      <c r="W5" s="12"/>
      <c r="X5" s="12"/>
      <c r="Y5" s="12"/>
      <c r="Z5" s="13"/>
      <c r="AA5" s="13"/>
      <c r="AB5" s="13"/>
      <c r="AC5" s="13"/>
      <c r="AD5" s="13"/>
      <c r="AE5" s="13"/>
      <c r="AF5" s="13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s="1" customFormat="1" ht="25" customHeight="1">
      <c r="A6" s="2">
        <v>4</v>
      </c>
      <c r="B6" s="2"/>
      <c r="C6" s="2"/>
      <c r="D6" s="2" t="s">
        <v>114</v>
      </c>
      <c r="E6" s="2"/>
      <c r="F6" s="2"/>
      <c r="G6" s="2"/>
      <c r="H6" s="25" t="s">
        <v>119</v>
      </c>
      <c r="I6" s="23" t="s">
        <v>131</v>
      </c>
      <c r="J6" s="2" t="s">
        <v>112</v>
      </c>
      <c r="K6" s="2">
        <v>1</v>
      </c>
      <c r="L6" s="2" t="s">
        <v>104</v>
      </c>
      <c r="M6" s="2" t="s">
        <v>92</v>
      </c>
      <c r="N6" s="2"/>
      <c r="O6" s="2" t="s">
        <v>92</v>
      </c>
      <c r="P6" s="2" t="s">
        <v>92</v>
      </c>
      <c r="Q6" s="2" t="s">
        <v>92</v>
      </c>
      <c r="R6" s="2" t="s">
        <v>92</v>
      </c>
      <c r="S6" s="2" t="s">
        <v>92</v>
      </c>
      <c r="T6" s="2"/>
      <c r="U6" s="5"/>
      <c r="V6" s="12"/>
      <c r="W6" s="12"/>
      <c r="X6" s="12"/>
      <c r="Y6" s="12"/>
      <c r="Z6" s="13"/>
      <c r="AA6" s="13"/>
      <c r="AB6" s="13"/>
      <c r="AC6" s="13"/>
      <c r="AD6" s="13"/>
      <c r="AE6" s="13"/>
      <c r="AF6" s="13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s="1" customFormat="1" ht="25" customHeight="1">
      <c r="A7" s="2">
        <v>5</v>
      </c>
      <c r="B7" s="2"/>
      <c r="C7" s="2"/>
      <c r="D7" s="2" t="s">
        <v>115</v>
      </c>
      <c r="E7" s="2"/>
      <c r="F7" s="2"/>
      <c r="G7" s="14"/>
      <c r="H7" s="24" t="s">
        <v>120</v>
      </c>
      <c r="I7" s="23" t="s">
        <v>131</v>
      </c>
      <c r="J7" s="2" t="s">
        <v>113</v>
      </c>
      <c r="K7" s="2">
        <v>2</v>
      </c>
      <c r="L7" s="2" t="s">
        <v>104</v>
      </c>
      <c r="M7" s="2" t="s">
        <v>92</v>
      </c>
      <c r="N7" s="2"/>
      <c r="O7" s="2" t="s">
        <v>92</v>
      </c>
      <c r="P7" s="2" t="s">
        <v>92</v>
      </c>
      <c r="Q7" s="2" t="s">
        <v>92</v>
      </c>
      <c r="R7" s="2" t="s">
        <v>92</v>
      </c>
      <c r="S7" s="2" t="s">
        <v>92</v>
      </c>
      <c r="T7" s="2"/>
      <c r="U7" s="5"/>
      <c r="V7" s="12"/>
      <c r="W7" s="12"/>
      <c r="X7" s="12"/>
      <c r="Y7" s="12"/>
      <c r="Z7" s="13"/>
      <c r="AA7" s="13"/>
      <c r="AB7" s="13"/>
      <c r="AC7" s="13"/>
      <c r="AD7" s="13"/>
      <c r="AE7" s="13"/>
      <c r="AF7" s="13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s="1" customFormat="1" ht="25" customHeight="1">
      <c r="A8" s="2">
        <v>6</v>
      </c>
      <c r="B8" s="2"/>
      <c r="C8" s="2">
        <v>1.2</v>
      </c>
      <c r="D8" s="2"/>
      <c r="E8" s="2"/>
      <c r="F8" s="2"/>
      <c r="G8" s="2"/>
      <c r="H8" s="25" t="s">
        <v>135</v>
      </c>
      <c r="I8" s="23" t="s">
        <v>131</v>
      </c>
      <c r="J8" s="2" t="s">
        <v>48</v>
      </c>
      <c r="K8" s="2">
        <v>1</v>
      </c>
      <c r="L8" s="2" t="s">
        <v>102</v>
      </c>
      <c r="M8" s="2" t="s">
        <v>3</v>
      </c>
      <c r="N8" s="2"/>
      <c r="O8" s="2" t="s">
        <v>3</v>
      </c>
      <c r="P8" s="2" t="s">
        <v>55</v>
      </c>
      <c r="Q8" s="2">
        <v>1</v>
      </c>
      <c r="R8" s="2">
        <v>45</v>
      </c>
      <c r="S8" s="2">
        <v>2</v>
      </c>
      <c r="T8" s="2">
        <f t="shared" si="0"/>
        <v>22.5</v>
      </c>
      <c r="U8" s="5">
        <v>0.95</v>
      </c>
      <c r="V8" s="12">
        <f t="shared" si="1"/>
        <v>152</v>
      </c>
      <c r="W8" s="12">
        <v>1</v>
      </c>
      <c r="X8" s="12">
        <v>22</v>
      </c>
      <c r="Y8" s="12">
        <f>V8*W8*X8</f>
        <v>3344</v>
      </c>
      <c r="Z8" s="13"/>
      <c r="AA8" s="13">
        <v>2</v>
      </c>
      <c r="AB8" s="13"/>
      <c r="AC8" s="13"/>
      <c r="AD8" s="13"/>
      <c r="AE8" s="13">
        <f>Z3+AA8</f>
        <v>4</v>
      </c>
      <c r="AF8" s="13"/>
      <c r="AG8" s="27" t="s">
        <v>137</v>
      </c>
      <c r="AH8" s="2"/>
      <c r="AI8" s="2"/>
      <c r="AJ8" s="2"/>
      <c r="AK8" s="2"/>
      <c r="AL8" s="2"/>
      <c r="AM8" s="2"/>
      <c r="AN8" s="2"/>
      <c r="AO8" s="16"/>
      <c r="AP8" s="2">
        <v>56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s="1" customFormat="1" ht="25" customHeight="1">
      <c r="A9" s="2">
        <v>7</v>
      </c>
      <c r="B9" s="2"/>
      <c r="C9" s="2">
        <v>1.3</v>
      </c>
      <c r="D9" s="2"/>
      <c r="E9" s="2"/>
      <c r="F9" s="2"/>
      <c r="G9" s="2"/>
      <c r="H9" s="25" t="s">
        <v>136</v>
      </c>
      <c r="I9" s="23" t="s">
        <v>131</v>
      </c>
      <c r="J9" s="2" t="s">
        <v>22</v>
      </c>
      <c r="K9" s="2">
        <v>1</v>
      </c>
      <c r="L9" s="2" t="s">
        <v>102</v>
      </c>
      <c r="M9" s="2" t="s">
        <v>3</v>
      </c>
      <c r="N9" s="2"/>
      <c r="O9" s="2" t="s">
        <v>3</v>
      </c>
      <c r="P9" s="2" t="s">
        <v>55</v>
      </c>
      <c r="Q9" s="2">
        <v>1</v>
      </c>
      <c r="R9" s="2">
        <v>46</v>
      </c>
      <c r="S9" s="2">
        <v>2</v>
      </c>
      <c r="T9" s="2">
        <f t="shared" si="0"/>
        <v>23</v>
      </c>
      <c r="U9" s="5">
        <v>0.95</v>
      </c>
      <c r="V9" s="12">
        <f t="shared" si="1"/>
        <v>148.69565217391303</v>
      </c>
      <c r="W9" s="12">
        <v>1</v>
      </c>
      <c r="X9" s="12">
        <v>22</v>
      </c>
      <c r="Y9" s="12">
        <f>V9*W9*X9</f>
        <v>3271.3043478260865</v>
      </c>
      <c r="Z9" s="13"/>
      <c r="AA9" s="13">
        <v>2</v>
      </c>
      <c r="AB9" s="13"/>
      <c r="AC9" s="13"/>
      <c r="AD9" s="13"/>
      <c r="AE9" s="13">
        <f>Z3+AA9</f>
        <v>4</v>
      </c>
      <c r="AF9" s="13"/>
      <c r="AG9" s="27" t="s">
        <v>138</v>
      </c>
      <c r="AH9" s="2"/>
      <c r="AI9" s="2"/>
      <c r="AJ9" s="2"/>
      <c r="AK9" s="2"/>
      <c r="AL9" s="2"/>
      <c r="AM9" s="2"/>
      <c r="AN9" s="2"/>
      <c r="AO9" s="16"/>
      <c r="AP9" s="2">
        <v>10</v>
      </c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s="1" customFormat="1" ht="31.5" customHeight="1">
      <c r="A10" s="2">
        <v>8</v>
      </c>
      <c r="B10" s="2"/>
      <c r="C10" s="2">
        <v>1.4</v>
      </c>
      <c r="D10" s="2"/>
      <c r="E10" s="2"/>
      <c r="F10" s="2"/>
      <c r="G10" s="2"/>
      <c r="H10" s="23" t="s">
        <v>121</v>
      </c>
      <c r="I10" s="23" t="s">
        <v>131</v>
      </c>
      <c r="J10" s="2" t="s">
        <v>60</v>
      </c>
      <c r="K10" s="2">
        <v>1</v>
      </c>
      <c r="L10" s="2" t="s">
        <v>103</v>
      </c>
      <c r="M10" s="2" t="s">
        <v>61</v>
      </c>
      <c r="N10" s="2"/>
      <c r="O10" s="2" t="s">
        <v>61</v>
      </c>
      <c r="P10" s="2" t="s">
        <v>62</v>
      </c>
      <c r="Q10" s="2" t="s">
        <v>92</v>
      </c>
      <c r="R10" s="2" t="s">
        <v>92</v>
      </c>
      <c r="S10" s="2" t="s">
        <v>92</v>
      </c>
      <c r="T10" s="2"/>
      <c r="U10" s="5"/>
      <c r="V10" s="12"/>
      <c r="W10" s="12"/>
      <c r="X10" s="12"/>
      <c r="Y10" s="12"/>
      <c r="Z10" s="13"/>
      <c r="AA10" s="13">
        <v>1</v>
      </c>
      <c r="AB10" s="13"/>
      <c r="AC10" s="13"/>
      <c r="AD10" s="13"/>
      <c r="AE10" s="13">
        <f>Z3+AA10</f>
        <v>3</v>
      </c>
      <c r="AF10" s="13"/>
      <c r="AG10" s="2" t="s">
        <v>92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 t="s">
        <v>97</v>
      </c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s="1" customFormat="1" ht="25" customHeight="1">
      <c r="A11" s="2">
        <v>9</v>
      </c>
      <c r="B11" s="2"/>
      <c r="C11" s="2"/>
      <c r="D11" s="32" t="s">
        <v>85</v>
      </c>
      <c r="E11" s="2"/>
      <c r="F11" s="2"/>
      <c r="G11" s="2"/>
      <c r="H11" s="23" t="s">
        <v>122</v>
      </c>
      <c r="I11" s="23" t="s">
        <v>131</v>
      </c>
      <c r="J11" s="2" t="s">
        <v>96</v>
      </c>
      <c r="K11" s="2">
        <v>1</v>
      </c>
      <c r="L11" s="2" t="s">
        <v>102</v>
      </c>
      <c r="M11" s="2" t="s">
        <v>1</v>
      </c>
      <c r="N11" s="2"/>
      <c r="O11" s="2" t="s">
        <v>46</v>
      </c>
      <c r="P11" s="2" t="s">
        <v>47</v>
      </c>
      <c r="Q11" s="2">
        <v>1</v>
      </c>
      <c r="R11" s="2">
        <v>72</v>
      </c>
      <c r="S11" s="2">
        <v>1</v>
      </c>
      <c r="T11" s="2">
        <f>R11/S11</f>
        <v>72</v>
      </c>
      <c r="U11" s="5">
        <v>0.85</v>
      </c>
      <c r="V11" s="12">
        <f>3600*U11/T11</f>
        <v>42.5</v>
      </c>
      <c r="W11" s="12">
        <v>2</v>
      </c>
      <c r="X11" s="12">
        <v>20</v>
      </c>
      <c r="Y11" s="12">
        <f>V11*W11*X11</f>
        <v>1700</v>
      </c>
      <c r="Z11" s="13"/>
      <c r="AA11" s="13"/>
      <c r="AB11" s="13">
        <v>2</v>
      </c>
      <c r="AC11" s="13"/>
      <c r="AD11" s="13"/>
      <c r="AE11" s="13">
        <f>AE10+AB11</f>
        <v>5</v>
      </c>
      <c r="AF11" s="13"/>
      <c r="AG11" s="2" t="s">
        <v>92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 t="s">
        <v>67</v>
      </c>
      <c r="AT11" s="2"/>
      <c r="AU11" s="2" t="s">
        <v>68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s="1" customFormat="1" ht="25" customHeight="1">
      <c r="A12" s="2">
        <v>10</v>
      </c>
      <c r="B12" s="2"/>
      <c r="C12" s="2"/>
      <c r="D12" s="2"/>
      <c r="E12" s="33" t="s">
        <v>86</v>
      </c>
      <c r="F12" s="2"/>
      <c r="G12" s="2"/>
      <c r="H12" s="23" t="s">
        <v>123</v>
      </c>
      <c r="I12" s="23" t="s">
        <v>131</v>
      </c>
      <c r="J12" s="2" t="s">
        <v>95</v>
      </c>
      <c r="K12" s="2">
        <v>1</v>
      </c>
      <c r="L12" s="2" t="s">
        <v>102</v>
      </c>
      <c r="M12" s="2" t="s">
        <v>1</v>
      </c>
      <c r="N12" s="2"/>
      <c r="O12" s="2" t="s">
        <v>46</v>
      </c>
      <c r="P12" s="2" t="s">
        <v>47</v>
      </c>
      <c r="Q12" s="2">
        <v>1</v>
      </c>
      <c r="R12" s="2">
        <v>102</v>
      </c>
      <c r="S12" s="2">
        <v>1</v>
      </c>
      <c r="T12" s="2">
        <f>R12/S12</f>
        <v>102</v>
      </c>
      <c r="U12" s="5">
        <v>0.85</v>
      </c>
      <c r="V12" s="12">
        <f>3600*U12/T12</f>
        <v>30</v>
      </c>
      <c r="W12" s="12">
        <v>3</v>
      </c>
      <c r="X12" s="12">
        <v>20</v>
      </c>
      <c r="Y12" s="12">
        <f>V12*W12*X12</f>
        <v>1800</v>
      </c>
      <c r="Z12" s="13"/>
      <c r="AA12" s="13"/>
      <c r="AB12" s="13"/>
      <c r="AC12" s="13">
        <v>2</v>
      </c>
      <c r="AD12" s="13"/>
      <c r="AE12" s="13">
        <f>AE11+AC12</f>
        <v>7</v>
      </c>
      <c r="AF12" s="13"/>
      <c r="AG12" s="2" t="s">
        <v>92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 t="s">
        <v>67</v>
      </c>
      <c r="AT12" s="2"/>
      <c r="AU12" s="2" t="s">
        <v>68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s="1" customFormat="1" ht="25" customHeight="1">
      <c r="A13" s="2">
        <v>11</v>
      </c>
      <c r="B13" s="4"/>
      <c r="C13" s="4"/>
      <c r="D13" s="4"/>
      <c r="E13" s="4"/>
      <c r="F13" s="41" t="s">
        <v>87</v>
      </c>
      <c r="G13" s="17"/>
      <c r="H13" s="52" t="s">
        <v>124</v>
      </c>
      <c r="I13" s="23" t="s">
        <v>131</v>
      </c>
      <c r="J13" s="2" t="s">
        <v>9</v>
      </c>
      <c r="K13" s="2">
        <v>1</v>
      </c>
      <c r="L13" s="2" t="s">
        <v>102</v>
      </c>
      <c r="M13" s="2" t="s">
        <v>0</v>
      </c>
      <c r="N13" s="2" t="s">
        <v>141</v>
      </c>
      <c r="O13" s="2" t="s">
        <v>8</v>
      </c>
      <c r="P13" s="2" t="s">
        <v>16</v>
      </c>
      <c r="Q13" s="2">
        <v>1</v>
      </c>
      <c r="R13" s="2">
        <v>6</v>
      </c>
      <c r="S13" s="2">
        <v>1</v>
      </c>
      <c r="T13" s="2">
        <f>R13/S13</f>
        <v>6</v>
      </c>
      <c r="U13" s="5">
        <v>0.85</v>
      </c>
      <c r="V13" s="12">
        <f>3600*U13/T13</f>
        <v>510</v>
      </c>
      <c r="W13" s="12">
        <v>1</v>
      </c>
      <c r="X13" s="12">
        <v>20</v>
      </c>
      <c r="Y13" s="12">
        <f>V13*W13*X13</f>
        <v>10200</v>
      </c>
      <c r="Z13" s="13"/>
      <c r="AA13" s="13"/>
      <c r="AB13" s="13"/>
      <c r="AC13" s="13"/>
      <c r="AD13" s="44" t="s">
        <v>21</v>
      </c>
      <c r="AE13" s="44">
        <f>AE12+AD13</f>
        <v>9</v>
      </c>
      <c r="AF13" s="20"/>
      <c r="AG13" s="12" t="s">
        <v>31</v>
      </c>
      <c r="AH13" s="12">
        <v>1180</v>
      </c>
      <c r="AI13" s="12">
        <v>350</v>
      </c>
      <c r="AJ13" s="6">
        <v>1.5</v>
      </c>
      <c r="AK13" s="12">
        <v>14</v>
      </c>
      <c r="AL13" s="12"/>
      <c r="AM13" s="12"/>
      <c r="AN13" s="7">
        <v>7.85</v>
      </c>
      <c r="AO13" s="7">
        <f>AH13*AI13*AJ13/1000*AN13/AK13</f>
        <v>347.36250000000001</v>
      </c>
      <c r="AP13" s="7">
        <v>199</v>
      </c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2"/>
    </row>
    <row r="14" spans="1:60" s="1" customFormat="1" ht="25" customHeight="1">
      <c r="A14" s="2">
        <v>13</v>
      </c>
      <c r="B14" s="4"/>
      <c r="C14" s="4"/>
      <c r="D14" s="4"/>
      <c r="E14" s="4"/>
      <c r="F14" s="42"/>
      <c r="G14" s="18"/>
      <c r="H14" s="53"/>
      <c r="I14" s="23" t="s">
        <v>131</v>
      </c>
      <c r="J14" s="2" t="s">
        <v>11</v>
      </c>
      <c r="K14" s="2">
        <v>1</v>
      </c>
      <c r="L14" s="2" t="s">
        <v>102</v>
      </c>
      <c r="M14" s="2" t="s">
        <v>0</v>
      </c>
      <c r="N14" s="2"/>
      <c r="O14" s="2" t="s">
        <v>12</v>
      </c>
      <c r="P14" s="2" t="s">
        <v>16</v>
      </c>
      <c r="Q14" s="2">
        <v>1</v>
      </c>
      <c r="R14" s="2">
        <v>8</v>
      </c>
      <c r="S14" s="2">
        <v>2</v>
      </c>
      <c r="T14" s="2">
        <f t="shared" ref="T14:T16" si="2">R14/S14</f>
        <v>4</v>
      </c>
      <c r="U14" s="5">
        <v>0.85</v>
      </c>
      <c r="V14" s="12">
        <f t="shared" ref="V14:V27" si="3">3600*U14/T14</f>
        <v>765</v>
      </c>
      <c r="W14" s="12">
        <v>1</v>
      </c>
      <c r="X14" s="12">
        <v>20</v>
      </c>
      <c r="Y14" s="12">
        <f t="shared" ref="Y14:Y27" si="4">V14*W14*X14</f>
        <v>15300</v>
      </c>
      <c r="Z14" s="13"/>
      <c r="AA14" s="13"/>
      <c r="AB14" s="13"/>
      <c r="AC14" s="13"/>
      <c r="AD14" s="45"/>
      <c r="AE14" s="45"/>
      <c r="AF14" s="21"/>
      <c r="AG14" s="12" t="s">
        <v>92</v>
      </c>
      <c r="AH14" s="12"/>
      <c r="AI14" s="12"/>
      <c r="AJ14" s="6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2"/>
    </row>
    <row r="15" spans="1:60" s="1" customFormat="1" ht="25" customHeight="1">
      <c r="A15" s="2">
        <v>14</v>
      </c>
      <c r="B15" s="4"/>
      <c r="C15" s="4"/>
      <c r="D15" s="4"/>
      <c r="E15" s="4"/>
      <c r="F15" s="42"/>
      <c r="G15" s="18"/>
      <c r="H15" s="53"/>
      <c r="I15" s="23" t="s">
        <v>131</v>
      </c>
      <c r="J15" s="2" t="s">
        <v>11</v>
      </c>
      <c r="K15" s="2">
        <v>1</v>
      </c>
      <c r="L15" s="2" t="s">
        <v>102</v>
      </c>
      <c r="M15" s="2" t="s">
        <v>0</v>
      </c>
      <c r="N15" s="2"/>
      <c r="O15" s="2" t="s">
        <v>13</v>
      </c>
      <c r="P15" s="2" t="s">
        <v>16</v>
      </c>
      <c r="Q15" s="2">
        <v>1</v>
      </c>
      <c r="R15" s="2">
        <v>8</v>
      </c>
      <c r="S15" s="2">
        <v>2</v>
      </c>
      <c r="T15" s="2">
        <f t="shared" si="2"/>
        <v>4</v>
      </c>
      <c r="U15" s="5">
        <v>0.85</v>
      </c>
      <c r="V15" s="12">
        <f t="shared" si="3"/>
        <v>765</v>
      </c>
      <c r="W15" s="12">
        <v>1</v>
      </c>
      <c r="X15" s="12">
        <v>20</v>
      </c>
      <c r="Y15" s="12">
        <f t="shared" si="4"/>
        <v>15300</v>
      </c>
      <c r="Z15" s="13"/>
      <c r="AA15" s="13"/>
      <c r="AB15" s="13"/>
      <c r="AC15" s="13"/>
      <c r="AD15" s="45"/>
      <c r="AE15" s="45"/>
      <c r="AF15" s="21"/>
      <c r="AG15" s="12" t="s">
        <v>92</v>
      </c>
      <c r="AH15" s="12"/>
      <c r="AI15" s="12"/>
      <c r="AJ15" s="6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2"/>
    </row>
    <row r="16" spans="1:60" s="1" customFormat="1" ht="25" customHeight="1">
      <c r="A16" s="2">
        <v>15</v>
      </c>
      <c r="B16" s="4"/>
      <c r="C16" s="4"/>
      <c r="D16" s="4"/>
      <c r="E16" s="4"/>
      <c r="F16" s="43"/>
      <c r="G16" s="19"/>
      <c r="H16" s="54"/>
      <c r="I16" s="23" t="s">
        <v>131</v>
      </c>
      <c r="J16" s="2" t="s">
        <v>11</v>
      </c>
      <c r="K16" s="2">
        <v>1</v>
      </c>
      <c r="L16" s="2" t="s">
        <v>102</v>
      </c>
      <c r="M16" s="2" t="s">
        <v>0</v>
      </c>
      <c r="N16" s="2"/>
      <c r="O16" s="2" t="s">
        <v>14</v>
      </c>
      <c r="P16" s="2" t="s">
        <v>16</v>
      </c>
      <c r="Q16" s="2">
        <v>1</v>
      </c>
      <c r="R16" s="2">
        <v>8</v>
      </c>
      <c r="S16" s="2">
        <v>2</v>
      </c>
      <c r="T16" s="2">
        <f t="shared" si="2"/>
        <v>4</v>
      </c>
      <c r="U16" s="5">
        <v>0.85</v>
      </c>
      <c r="V16" s="12">
        <f t="shared" si="3"/>
        <v>765</v>
      </c>
      <c r="W16" s="12">
        <v>1</v>
      </c>
      <c r="X16" s="12">
        <v>20</v>
      </c>
      <c r="Y16" s="12">
        <f t="shared" si="4"/>
        <v>15300</v>
      </c>
      <c r="Z16" s="13"/>
      <c r="AA16" s="13"/>
      <c r="AB16" s="13"/>
      <c r="AC16" s="13"/>
      <c r="AD16" s="46"/>
      <c r="AE16" s="46"/>
      <c r="AF16" s="22"/>
      <c r="AG16" s="12" t="s">
        <v>92</v>
      </c>
      <c r="AH16" s="12"/>
      <c r="AI16" s="12"/>
      <c r="AJ16" s="6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2"/>
    </row>
    <row r="17" spans="1:60" s="1" customFormat="1" ht="25" customHeight="1">
      <c r="A17" s="2"/>
      <c r="B17" s="4"/>
      <c r="C17" s="4"/>
      <c r="D17" s="4"/>
      <c r="E17" s="4"/>
      <c r="F17" s="18"/>
      <c r="G17" s="18" t="s">
        <v>143</v>
      </c>
      <c r="H17" s="35"/>
      <c r="I17" s="23"/>
      <c r="J17" s="2" t="s">
        <v>145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5"/>
      <c r="V17" s="12"/>
      <c r="W17" s="12"/>
      <c r="X17" s="12"/>
      <c r="Y17" s="12"/>
      <c r="Z17" s="13"/>
      <c r="AA17" s="13"/>
      <c r="AB17" s="13"/>
      <c r="AC17" s="13"/>
      <c r="AD17" s="22"/>
      <c r="AE17" s="22"/>
      <c r="AF17" s="22"/>
      <c r="AG17" s="12"/>
      <c r="AH17" s="12"/>
      <c r="AI17" s="12"/>
      <c r="AJ17" s="6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2"/>
    </row>
    <row r="18" spans="1:60" s="1" customFormat="1" ht="25" customHeight="1">
      <c r="A18" s="2"/>
      <c r="B18" s="4"/>
      <c r="C18" s="4"/>
      <c r="D18" s="4"/>
      <c r="E18" s="4"/>
      <c r="F18" s="49" t="s">
        <v>150</v>
      </c>
      <c r="G18" s="17"/>
      <c r="H18" s="52" t="s">
        <v>125</v>
      </c>
      <c r="I18" s="23" t="s">
        <v>131</v>
      </c>
      <c r="J18" s="2" t="s">
        <v>10</v>
      </c>
      <c r="K18" s="2">
        <v>1</v>
      </c>
      <c r="L18" s="2" t="s">
        <v>102</v>
      </c>
      <c r="M18" s="2" t="s">
        <v>0</v>
      </c>
      <c r="N18" s="2"/>
      <c r="O18" s="2" t="s">
        <v>8</v>
      </c>
      <c r="P18" s="2" t="s">
        <v>16</v>
      </c>
      <c r="Q18" s="2">
        <v>1</v>
      </c>
      <c r="R18" s="2">
        <v>6</v>
      </c>
      <c r="S18" s="2">
        <v>1</v>
      </c>
      <c r="T18" s="2">
        <f>R18/S18</f>
        <v>6</v>
      </c>
      <c r="U18" s="5">
        <v>0.85</v>
      </c>
      <c r="V18" s="12">
        <f>3600*U18/T18</f>
        <v>510</v>
      </c>
      <c r="W18" s="12">
        <v>1</v>
      </c>
      <c r="X18" s="12">
        <v>20</v>
      </c>
      <c r="Y18" s="12">
        <f>V18*W18*X18</f>
        <v>10200</v>
      </c>
      <c r="Z18" s="13"/>
      <c r="AA18" s="13"/>
      <c r="AB18" s="13"/>
      <c r="AC18" s="13"/>
      <c r="AD18" s="22"/>
      <c r="AE18" s="22"/>
      <c r="AF18" s="22"/>
      <c r="AG18" s="12"/>
      <c r="AH18" s="12"/>
      <c r="AI18" s="12"/>
      <c r="AJ18" s="6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2"/>
    </row>
    <row r="19" spans="1:60" s="1" customFormat="1" ht="25" customHeight="1">
      <c r="A19" s="2"/>
      <c r="B19" s="4"/>
      <c r="C19" s="4"/>
      <c r="D19" s="4"/>
      <c r="E19" s="4"/>
      <c r="F19" s="50"/>
      <c r="G19" s="18"/>
      <c r="H19" s="53"/>
      <c r="I19" s="23" t="s">
        <v>131</v>
      </c>
      <c r="J19" s="2" t="s">
        <v>11</v>
      </c>
      <c r="K19" s="2">
        <v>1</v>
      </c>
      <c r="L19" s="2" t="s">
        <v>102</v>
      </c>
      <c r="M19" s="2" t="s">
        <v>0</v>
      </c>
      <c r="N19" s="2"/>
      <c r="O19" s="2" t="s">
        <v>12</v>
      </c>
      <c r="P19" s="2" t="s">
        <v>16</v>
      </c>
      <c r="Q19" s="2">
        <v>1</v>
      </c>
      <c r="R19" s="2">
        <v>8</v>
      </c>
      <c r="S19" s="2">
        <v>2</v>
      </c>
      <c r="T19" s="2">
        <f t="shared" ref="T19:T21" si="5">R19/S19</f>
        <v>4</v>
      </c>
      <c r="U19" s="5">
        <v>0.85</v>
      </c>
      <c r="V19" s="12">
        <f t="shared" ref="V19:V21" si="6">3600*U19/T19</f>
        <v>765</v>
      </c>
      <c r="W19" s="12">
        <v>1</v>
      </c>
      <c r="X19" s="12">
        <v>20</v>
      </c>
      <c r="Y19" s="12">
        <f t="shared" ref="Y19:Y21" si="7">V19*W19*X19</f>
        <v>15300</v>
      </c>
      <c r="Z19" s="13"/>
      <c r="AA19" s="13"/>
      <c r="AB19" s="13"/>
      <c r="AC19" s="13"/>
      <c r="AD19" s="22"/>
      <c r="AE19" s="22"/>
      <c r="AF19" s="22"/>
      <c r="AG19" s="12"/>
      <c r="AH19" s="12"/>
      <c r="AI19" s="12"/>
      <c r="AJ19" s="6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2"/>
    </row>
    <row r="20" spans="1:60" s="1" customFormat="1" ht="25" customHeight="1">
      <c r="A20" s="2"/>
      <c r="B20" s="4"/>
      <c r="C20" s="4"/>
      <c r="D20" s="4"/>
      <c r="E20" s="4"/>
      <c r="F20" s="50"/>
      <c r="G20" s="18"/>
      <c r="H20" s="53"/>
      <c r="I20" s="23" t="s">
        <v>131</v>
      </c>
      <c r="J20" s="2" t="s">
        <v>11</v>
      </c>
      <c r="K20" s="2">
        <v>1</v>
      </c>
      <c r="L20" s="2" t="s">
        <v>102</v>
      </c>
      <c r="M20" s="2" t="s">
        <v>0</v>
      </c>
      <c r="N20" s="2"/>
      <c r="O20" s="2" t="s">
        <v>13</v>
      </c>
      <c r="P20" s="2" t="s">
        <v>16</v>
      </c>
      <c r="Q20" s="2">
        <v>1</v>
      </c>
      <c r="R20" s="2">
        <v>8</v>
      </c>
      <c r="S20" s="2">
        <v>2</v>
      </c>
      <c r="T20" s="2">
        <f t="shared" si="5"/>
        <v>4</v>
      </c>
      <c r="U20" s="5">
        <v>0.85</v>
      </c>
      <c r="V20" s="12">
        <f t="shared" si="6"/>
        <v>765</v>
      </c>
      <c r="W20" s="12">
        <v>1</v>
      </c>
      <c r="X20" s="12">
        <v>20</v>
      </c>
      <c r="Y20" s="12">
        <f t="shared" si="7"/>
        <v>15300</v>
      </c>
      <c r="Z20" s="13"/>
      <c r="AA20" s="13"/>
      <c r="AB20" s="13"/>
      <c r="AC20" s="13"/>
      <c r="AD20" s="22"/>
      <c r="AE20" s="22"/>
      <c r="AF20" s="22"/>
      <c r="AG20" s="12"/>
      <c r="AH20" s="12"/>
      <c r="AI20" s="12"/>
      <c r="AJ20" s="6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2"/>
    </row>
    <row r="21" spans="1:60" s="1" customFormat="1" ht="25" customHeight="1">
      <c r="A21" s="2"/>
      <c r="B21" s="4"/>
      <c r="C21" s="4"/>
      <c r="D21" s="4"/>
      <c r="E21" s="4"/>
      <c r="F21" s="51"/>
      <c r="G21" s="19"/>
      <c r="H21" s="54"/>
      <c r="I21" s="23" t="s">
        <v>131</v>
      </c>
      <c r="J21" s="2" t="s">
        <v>11</v>
      </c>
      <c r="K21" s="2">
        <v>1</v>
      </c>
      <c r="L21" s="2" t="s">
        <v>102</v>
      </c>
      <c r="M21" s="2" t="s">
        <v>0</v>
      </c>
      <c r="N21" s="2"/>
      <c r="O21" s="2" t="s">
        <v>14</v>
      </c>
      <c r="P21" s="2" t="s">
        <v>16</v>
      </c>
      <c r="Q21" s="2">
        <v>1</v>
      </c>
      <c r="R21" s="2">
        <v>8</v>
      </c>
      <c r="S21" s="2">
        <v>2</v>
      </c>
      <c r="T21" s="2">
        <f t="shared" si="5"/>
        <v>4</v>
      </c>
      <c r="U21" s="5">
        <v>0.85</v>
      </c>
      <c r="V21" s="12">
        <f t="shared" si="6"/>
        <v>765</v>
      </c>
      <c r="W21" s="12">
        <v>1</v>
      </c>
      <c r="X21" s="12">
        <v>20</v>
      </c>
      <c r="Y21" s="12">
        <f t="shared" si="7"/>
        <v>15300</v>
      </c>
      <c r="Z21" s="13"/>
      <c r="AA21" s="13"/>
      <c r="AB21" s="13"/>
      <c r="AC21" s="13"/>
      <c r="AD21" s="22"/>
      <c r="AE21" s="22"/>
      <c r="AF21" s="22"/>
      <c r="AG21" s="12"/>
      <c r="AH21" s="12"/>
      <c r="AI21" s="12"/>
      <c r="AJ21" s="6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2"/>
    </row>
    <row r="22" spans="1:60" s="1" customFormat="1" ht="25" customHeight="1">
      <c r="A22" s="2"/>
      <c r="B22" s="4"/>
      <c r="C22" s="4"/>
      <c r="D22" s="4"/>
      <c r="E22" s="4"/>
      <c r="F22" s="19"/>
      <c r="G22" s="39" t="s">
        <v>151</v>
      </c>
      <c r="H22" s="36"/>
      <c r="I22" s="23"/>
      <c r="J22" s="2" t="s">
        <v>145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5"/>
      <c r="V22" s="12"/>
      <c r="W22" s="12"/>
      <c r="X22" s="12"/>
      <c r="Y22" s="12"/>
      <c r="Z22" s="13"/>
      <c r="AA22" s="13"/>
      <c r="AB22" s="13"/>
      <c r="AC22" s="13"/>
      <c r="AD22" s="22"/>
      <c r="AE22" s="22"/>
      <c r="AF22" s="22"/>
      <c r="AG22" s="12"/>
      <c r="AH22" s="12"/>
      <c r="AI22" s="12"/>
      <c r="AJ22" s="6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2"/>
    </row>
    <row r="23" spans="1:60" s="1" customFormat="1" ht="25" customHeight="1">
      <c r="A23" s="2"/>
      <c r="B23" s="4"/>
      <c r="C23" s="4"/>
      <c r="D23" s="4"/>
      <c r="E23" s="4"/>
      <c r="F23" s="39" t="s">
        <v>152</v>
      </c>
      <c r="G23" s="36"/>
      <c r="H23" s="36"/>
      <c r="I23" s="23"/>
      <c r="J23" s="2" t="s">
        <v>67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5"/>
      <c r="V23" s="12"/>
      <c r="W23" s="12"/>
      <c r="X23" s="12"/>
      <c r="Y23" s="12"/>
      <c r="Z23" s="13"/>
      <c r="AA23" s="13"/>
      <c r="AB23" s="13"/>
      <c r="AC23" s="13"/>
      <c r="AD23" s="22"/>
      <c r="AE23" s="22"/>
      <c r="AF23" s="22"/>
      <c r="AG23" s="12"/>
      <c r="AH23" s="12"/>
      <c r="AI23" s="12"/>
      <c r="AJ23" s="6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2"/>
    </row>
    <row r="24" spans="1:60" s="1" customFormat="1" ht="25" customHeight="1">
      <c r="A24" s="2">
        <v>16</v>
      </c>
      <c r="B24" s="4"/>
      <c r="C24" s="4"/>
      <c r="D24" s="4"/>
      <c r="E24" s="34" t="s">
        <v>88</v>
      </c>
      <c r="F24" s="4"/>
      <c r="G24" s="4"/>
      <c r="H24" s="26" t="s">
        <v>134</v>
      </c>
      <c r="I24" s="23" t="s">
        <v>131</v>
      </c>
      <c r="J24" s="2" t="s">
        <v>19</v>
      </c>
      <c r="K24" s="2">
        <v>1</v>
      </c>
      <c r="L24" s="2" t="s">
        <v>102</v>
      </c>
      <c r="M24" s="2" t="s">
        <v>0</v>
      </c>
      <c r="N24" s="2"/>
      <c r="O24" s="2" t="s">
        <v>20</v>
      </c>
      <c r="P24" s="2" t="s">
        <v>16</v>
      </c>
      <c r="Q24" s="2">
        <v>1</v>
      </c>
      <c r="R24" s="2">
        <v>6</v>
      </c>
      <c r="S24" s="2">
        <v>1</v>
      </c>
      <c r="T24" s="2">
        <f>R24/S24</f>
        <v>6</v>
      </c>
      <c r="U24" s="5">
        <v>0.85</v>
      </c>
      <c r="V24" s="12">
        <f t="shared" si="3"/>
        <v>510</v>
      </c>
      <c r="W24" s="12">
        <v>1</v>
      </c>
      <c r="X24" s="12">
        <v>20</v>
      </c>
      <c r="Y24" s="12">
        <f t="shared" si="4"/>
        <v>10200</v>
      </c>
      <c r="Z24" s="13"/>
      <c r="AA24" s="13"/>
      <c r="AB24" s="13"/>
      <c r="AC24" s="13">
        <v>2</v>
      </c>
      <c r="AD24" s="13"/>
      <c r="AE24" s="13">
        <f>AE11+AC24</f>
        <v>7</v>
      </c>
      <c r="AF24" s="13"/>
      <c r="AG24" s="12" t="s">
        <v>41</v>
      </c>
      <c r="AH24" s="12">
        <v>1250</v>
      </c>
      <c r="AI24" s="12">
        <v>112</v>
      </c>
      <c r="AJ24" s="6">
        <v>5</v>
      </c>
      <c r="AK24" s="12">
        <v>19</v>
      </c>
      <c r="AL24" s="12"/>
      <c r="AM24" s="12"/>
      <c r="AN24" s="7">
        <v>7.85</v>
      </c>
      <c r="AO24" s="7">
        <f>AH24*AI24*AJ24/1000*AN24/AK24</f>
        <v>289.21052631578948</v>
      </c>
      <c r="AP24" s="12">
        <v>214</v>
      </c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2"/>
    </row>
    <row r="25" spans="1:60" s="1" customFormat="1" ht="25" customHeight="1">
      <c r="A25" s="2"/>
      <c r="B25" s="4"/>
      <c r="C25" s="4"/>
      <c r="D25" s="4"/>
      <c r="E25" s="2"/>
      <c r="F25" s="4" t="s">
        <v>148</v>
      </c>
      <c r="G25" s="17"/>
      <c r="H25" s="37"/>
      <c r="I25" s="23"/>
      <c r="J25" s="2" t="s">
        <v>145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5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2"/>
      <c r="AH25" s="12"/>
      <c r="AI25" s="12"/>
      <c r="AJ25" s="6"/>
      <c r="AK25" s="12"/>
      <c r="AL25" s="12"/>
      <c r="AM25" s="12"/>
      <c r="AN25" s="7"/>
      <c r="AO25" s="7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2"/>
    </row>
    <row r="26" spans="1:60" s="1" customFormat="1" ht="25" customHeight="1">
      <c r="A26" s="2">
        <v>17</v>
      </c>
      <c r="B26" s="2"/>
      <c r="C26" s="2"/>
      <c r="D26" s="2"/>
      <c r="E26" s="33" t="s">
        <v>89</v>
      </c>
      <c r="F26" s="2"/>
      <c r="G26" s="38"/>
      <c r="H26" s="30"/>
      <c r="I26" s="31" t="s">
        <v>131</v>
      </c>
      <c r="J26" s="16" t="s">
        <v>142</v>
      </c>
      <c r="K26" s="2">
        <v>1</v>
      </c>
      <c r="L26" s="2" t="s">
        <v>102</v>
      </c>
      <c r="M26" s="2" t="s">
        <v>1</v>
      </c>
      <c r="N26" s="2"/>
      <c r="O26" s="2" t="s">
        <v>46</v>
      </c>
      <c r="P26" s="2" t="s">
        <v>47</v>
      </c>
      <c r="Q26" s="2">
        <v>1</v>
      </c>
      <c r="R26" s="2">
        <v>100</v>
      </c>
      <c r="S26" s="2">
        <v>4</v>
      </c>
      <c r="T26" s="2">
        <f>R26/S26</f>
        <v>25</v>
      </c>
      <c r="U26" s="5">
        <v>0.85</v>
      </c>
      <c r="V26" s="12">
        <f>3600*U26/T26</f>
        <v>122.4</v>
      </c>
      <c r="W26" s="12">
        <v>1</v>
      </c>
      <c r="X26" s="12">
        <v>20</v>
      </c>
      <c r="Y26" s="12">
        <f>V26*W26*X26</f>
        <v>2448</v>
      </c>
      <c r="Z26" s="13"/>
      <c r="AA26" s="13"/>
      <c r="AB26" s="13"/>
      <c r="AC26" s="13">
        <v>2</v>
      </c>
      <c r="AD26" s="13"/>
      <c r="AE26" s="13">
        <f>AE11+AC26</f>
        <v>7</v>
      </c>
      <c r="AF26" s="13"/>
      <c r="AG26" s="2" t="s">
        <v>92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 t="s">
        <v>67</v>
      </c>
      <c r="AT26" s="2"/>
      <c r="AU26" s="2" t="s">
        <v>68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1:60" s="1" customFormat="1" ht="25" customHeight="1">
      <c r="A27" s="2">
        <v>18</v>
      </c>
      <c r="B27" s="4"/>
      <c r="C27" s="4"/>
      <c r="D27" s="4"/>
      <c r="E27" s="4"/>
      <c r="F27" s="2" t="s">
        <v>90</v>
      </c>
      <c r="G27" s="38"/>
      <c r="H27" s="29" t="s">
        <v>133</v>
      </c>
      <c r="I27" s="23" t="s">
        <v>131</v>
      </c>
      <c r="J27" s="2" t="s">
        <v>23</v>
      </c>
      <c r="K27" s="2">
        <v>1</v>
      </c>
      <c r="L27" s="2" t="s">
        <v>102</v>
      </c>
      <c r="M27" s="2" t="s">
        <v>0</v>
      </c>
      <c r="N27" s="2"/>
      <c r="O27" s="2" t="s">
        <v>24</v>
      </c>
      <c r="P27" s="2" t="s">
        <v>25</v>
      </c>
      <c r="Q27" s="2">
        <v>1</v>
      </c>
      <c r="R27" s="2">
        <v>3</v>
      </c>
      <c r="S27" s="2">
        <v>1</v>
      </c>
      <c r="T27" s="2">
        <f>R27/S27</f>
        <v>3</v>
      </c>
      <c r="U27" s="5">
        <v>0.75</v>
      </c>
      <c r="V27" s="12">
        <f t="shared" si="3"/>
        <v>900</v>
      </c>
      <c r="W27" s="12">
        <v>1</v>
      </c>
      <c r="X27" s="12">
        <v>20</v>
      </c>
      <c r="Y27" s="12">
        <f t="shared" si="4"/>
        <v>18000</v>
      </c>
      <c r="Z27" s="13"/>
      <c r="AA27" s="13"/>
      <c r="AB27" s="13"/>
      <c r="AC27" s="13"/>
      <c r="AD27" s="13">
        <v>2</v>
      </c>
      <c r="AE27" s="13">
        <f>AE26+AD27</f>
        <v>9</v>
      </c>
      <c r="AF27" s="13"/>
      <c r="AG27" s="12" t="s">
        <v>41</v>
      </c>
      <c r="AH27" s="12" t="s">
        <v>42</v>
      </c>
      <c r="AI27" s="12">
        <v>100</v>
      </c>
      <c r="AJ27" s="6">
        <v>2.5</v>
      </c>
      <c r="AK27" s="12"/>
      <c r="AL27" s="12">
        <v>75</v>
      </c>
      <c r="AM27" s="12">
        <v>1</v>
      </c>
      <c r="AN27" s="7">
        <v>7.85</v>
      </c>
      <c r="AO27" s="7">
        <f>AI27*AJ27*AL27/1000/AM27*AN27</f>
        <v>147.1875</v>
      </c>
      <c r="AP27" s="12">
        <v>68</v>
      </c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2" t="s">
        <v>45</v>
      </c>
    </row>
    <row r="28" spans="1:60" s="1" customFormat="1" ht="25" customHeight="1">
      <c r="A28" s="2"/>
      <c r="B28" s="4"/>
      <c r="C28" s="4"/>
      <c r="D28" s="4"/>
      <c r="E28" s="4"/>
      <c r="F28" s="2"/>
      <c r="G28" s="10" t="s">
        <v>147</v>
      </c>
      <c r="H28" s="29"/>
      <c r="I28" s="23"/>
      <c r="J28" s="2" t="s">
        <v>145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5"/>
      <c r="V28" s="12"/>
      <c r="W28" s="12"/>
      <c r="X28" s="12"/>
      <c r="Y28" s="12"/>
      <c r="Z28" s="13"/>
      <c r="AA28" s="13"/>
      <c r="AB28" s="13"/>
      <c r="AC28" s="13"/>
      <c r="AD28" s="13"/>
      <c r="AE28" s="13"/>
      <c r="AF28" s="13"/>
      <c r="AG28" s="12"/>
      <c r="AH28" s="12"/>
      <c r="AI28" s="12"/>
      <c r="AJ28" s="6"/>
      <c r="AK28" s="12"/>
      <c r="AL28" s="12"/>
      <c r="AM28" s="12"/>
      <c r="AN28" s="7"/>
      <c r="AO28" s="7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2"/>
    </row>
    <row r="29" spans="1:60" s="1" customFormat="1" ht="25" customHeight="1">
      <c r="A29" s="2"/>
      <c r="B29" s="4"/>
      <c r="C29" s="4"/>
      <c r="D29" s="4"/>
      <c r="E29" s="4"/>
      <c r="F29" s="10" t="s">
        <v>146</v>
      </c>
      <c r="G29" s="38"/>
      <c r="H29" s="29"/>
      <c r="I29" s="23"/>
      <c r="J29" s="2" t="s">
        <v>67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5"/>
      <c r="V29" s="12"/>
      <c r="W29" s="12"/>
      <c r="X29" s="12"/>
      <c r="Y29" s="12"/>
      <c r="Z29" s="13"/>
      <c r="AA29" s="13"/>
      <c r="AB29" s="13"/>
      <c r="AC29" s="13"/>
      <c r="AD29" s="13"/>
      <c r="AE29" s="13"/>
      <c r="AF29" s="13"/>
      <c r="AG29" s="12"/>
      <c r="AH29" s="12"/>
      <c r="AI29" s="12"/>
      <c r="AJ29" s="6"/>
      <c r="AK29" s="12"/>
      <c r="AL29" s="12"/>
      <c r="AM29" s="12"/>
      <c r="AN29" s="7"/>
      <c r="AO29" s="7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2"/>
    </row>
    <row r="30" spans="1:60" s="1" customFormat="1" ht="25" customHeight="1">
      <c r="A30" s="2">
        <v>19</v>
      </c>
      <c r="B30" s="2"/>
      <c r="C30" s="2"/>
      <c r="D30" s="2"/>
      <c r="E30" s="33" t="s">
        <v>99</v>
      </c>
      <c r="F30" s="2"/>
      <c r="G30" s="2"/>
      <c r="H30" s="25" t="s">
        <v>132</v>
      </c>
      <c r="I30" s="23" t="s">
        <v>131</v>
      </c>
      <c r="J30" s="2" t="s">
        <v>100</v>
      </c>
      <c r="K30" s="2">
        <v>1</v>
      </c>
      <c r="L30" s="2" t="s">
        <v>104</v>
      </c>
      <c r="M30" s="2" t="s">
        <v>92</v>
      </c>
      <c r="N30" s="2"/>
      <c r="O30" s="2" t="s">
        <v>92</v>
      </c>
      <c r="P30" s="2" t="s">
        <v>92</v>
      </c>
      <c r="Q30" s="2" t="s">
        <v>92</v>
      </c>
      <c r="R30" s="2" t="s">
        <v>92</v>
      </c>
      <c r="S30" s="2" t="s">
        <v>92</v>
      </c>
      <c r="T30" s="2"/>
      <c r="U30" s="2"/>
      <c r="V30" s="12"/>
      <c r="W30" s="2"/>
      <c r="X30" s="2"/>
      <c r="Y30" s="12"/>
      <c r="Z30" s="13"/>
      <c r="AA30" s="13"/>
      <c r="AB30" s="13"/>
      <c r="AC30" s="13"/>
      <c r="AD30" s="13"/>
      <c r="AE30" s="13"/>
      <c r="AF30" s="13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s="1" customFormat="1" ht="25" customHeight="1">
      <c r="A31" s="2"/>
      <c r="B31" s="2"/>
      <c r="C31" s="2"/>
      <c r="D31" s="2"/>
      <c r="E31" s="10" t="s">
        <v>149</v>
      </c>
      <c r="F31" s="2"/>
      <c r="G31" s="2"/>
      <c r="H31" s="25"/>
      <c r="I31" s="23"/>
      <c r="J31" s="2" t="s">
        <v>67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2"/>
      <c r="W31" s="2"/>
      <c r="X31" s="2"/>
      <c r="Y31" s="12"/>
      <c r="Z31" s="13"/>
      <c r="AA31" s="13"/>
      <c r="AB31" s="13"/>
      <c r="AC31" s="13"/>
      <c r="AD31" s="13"/>
      <c r="AE31" s="28"/>
      <c r="AF31" s="28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s="1" customFormat="1" ht="25" customHeight="1">
      <c r="A32" s="2">
        <v>20</v>
      </c>
      <c r="B32" s="2"/>
      <c r="C32" s="2">
        <v>1.5</v>
      </c>
      <c r="D32" s="2"/>
      <c r="E32" s="2"/>
      <c r="F32" s="2"/>
      <c r="G32" s="2"/>
      <c r="H32" s="25" t="s">
        <v>126</v>
      </c>
      <c r="I32" s="23" t="s">
        <v>131</v>
      </c>
      <c r="J32" s="2" t="s">
        <v>105</v>
      </c>
      <c r="K32" s="2">
        <v>1</v>
      </c>
      <c r="L32" s="2" t="s">
        <v>104</v>
      </c>
      <c r="M32" s="2" t="s">
        <v>92</v>
      </c>
      <c r="N32" s="2"/>
      <c r="O32" s="2" t="s">
        <v>92</v>
      </c>
      <c r="P32" s="2" t="s">
        <v>92</v>
      </c>
      <c r="Q32" s="2" t="s">
        <v>92</v>
      </c>
      <c r="R32" s="2" t="s">
        <v>92</v>
      </c>
      <c r="S32" s="2" t="s">
        <v>92</v>
      </c>
      <c r="T32" s="2"/>
      <c r="U32" s="2"/>
      <c r="V32" s="12"/>
      <c r="W32" s="2"/>
      <c r="X32" s="2"/>
      <c r="Y32" s="12"/>
      <c r="Z32" s="13"/>
      <c r="AA32" s="13"/>
      <c r="AB32" s="13"/>
      <c r="AC32" s="13"/>
      <c r="AD32" s="13"/>
      <c r="AE32" s="28"/>
      <c r="AF32" s="28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s="1" customFormat="1" ht="25" customHeight="1">
      <c r="A33" s="2">
        <v>21</v>
      </c>
      <c r="B33" s="2"/>
      <c r="C33" s="2">
        <v>1.6</v>
      </c>
      <c r="D33" s="2"/>
      <c r="E33" s="2"/>
      <c r="F33" s="2"/>
      <c r="G33" s="2"/>
      <c r="H33" s="25" t="s">
        <v>127</v>
      </c>
      <c r="I33" s="23" t="s">
        <v>131</v>
      </c>
      <c r="J33" s="2" t="s">
        <v>106</v>
      </c>
      <c r="K33" s="2">
        <v>2</v>
      </c>
      <c r="L33" s="2" t="s">
        <v>104</v>
      </c>
      <c r="M33" s="2" t="s">
        <v>92</v>
      </c>
      <c r="N33" s="2"/>
      <c r="O33" s="2" t="s">
        <v>92</v>
      </c>
      <c r="P33" s="2" t="s">
        <v>92</v>
      </c>
      <c r="Q33" s="2" t="s">
        <v>92</v>
      </c>
      <c r="R33" s="2" t="s">
        <v>92</v>
      </c>
      <c r="S33" s="2" t="s">
        <v>92</v>
      </c>
      <c r="T33" s="2"/>
      <c r="U33" s="2"/>
      <c r="V33" s="12"/>
      <c r="W33" s="2"/>
      <c r="X33" s="2"/>
      <c r="Y33" s="12"/>
      <c r="Z33" s="13"/>
      <c r="AA33" s="13"/>
      <c r="AB33" s="13"/>
      <c r="AC33" s="13"/>
      <c r="AD33" s="13"/>
      <c r="AE33" s="28"/>
      <c r="AF33" s="28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s="1" customFormat="1" ht="25" customHeight="1">
      <c r="A34" s="2">
        <v>22</v>
      </c>
      <c r="B34" s="2"/>
      <c r="C34" s="2">
        <v>1.7</v>
      </c>
      <c r="D34" s="2"/>
      <c r="E34" s="2"/>
      <c r="F34" s="2"/>
      <c r="G34" s="2"/>
      <c r="H34" s="25" t="s">
        <v>128</v>
      </c>
      <c r="I34" s="23" t="s">
        <v>131</v>
      </c>
      <c r="J34" s="2" t="s">
        <v>108</v>
      </c>
      <c r="K34" s="2">
        <v>1</v>
      </c>
      <c r="L34" s="2" t="s">
        <v>104</v>
      </c>
      <c r="M34" s="2" t="s">
        <v>92</v>
      </c>
      <c r="N34" s="2"/>
      <c r="O34" s="2" t="s">
        <v>92</v>
      </c>
      <c r="P34" s="2" t="s">
        <v>92</v>
      </c>
      <c r="Q34" s="2" t="s">
        <v>92</v>
      </c>
      <c r="R34" s="2" t="s">
        <v>92</v>
      </c>
      <c r="S34" s="2" t="s">
        <v>92</v>
      </c>
      <c r="T34" s="2"/>
      <c r="U34" s="2"/>
      <c r="V34" s="12"/>
      <c r="W34" s="2"/>
      <c r="X34" s="2"/>
      <c r="Y34" s="12"/>
      <c r="Z34" s="13"/>
      <c r="AA34" s="13"/>
      <c r="AB34" s="13"/>
      <c r="AC34" s="13"/>
      <c r="AD34" s="13"/>
      <c r="AE34" s="28"/>
      <c r="AF34" s="28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spans="1:60" s="1" customFormat="1" ht="25" customHeight="1">
      <c r="A35" s="2">
        <v>23</v>
      </c>
      <c r="B35" s="2"/>
      <c r="C35" s="2">
        <v>1.8</v>
      </c>
      <c r="D35" s="2"/>
      <c r="E35" s="2"/>
      <c r="F35" s="2"/>
      <c r="G35" s="2"/>
      <c r="H35" s="25" t="s">
        <v>129</v>
      </c>
      <c r="I35" s="23" t="s">
        <v>131</v>
      </c>
      <c r="J35" s="2" t="s">
        <v>109</v>
      </c>
      <c r="K35" s="2">
        <v>1</v>
      </c>
      <c r="L35" s="2" t="s">
        <v>104</v>
      </c>
      <c r="M35" s="2" t="s">
        <v>92</v>
      </c>
      <c r="N35" s="2"/>
      <c r="O35" s="2" t="s">
        <v>92</v>
      </c>
      <c r="P35" s="2" t="s">
        <v>92</v>
      </c>
      <c r="Q35" s="2" t="s">
        <v>92</v>
      </c>
      <c r="R35" s="2" t="s">
        <v>92</v>
      </c>
      <c r="S35" s="2" t="s">
        <v>92</v>
      </c>
      <c r="T35" s="2"/>
      <c r="U35" s="2"/>
      <c r="V35" s="12"/>
      <c r="W35" s="2"/>
      <c r="X35" s="2"/>
      <c r="Y35" s="12"/>
      <c r="Z35" s="13"/>
      <c r="AA35" s="13"/>
      <c r="AB35" s="13"/>
      <c r="AC35" s="13"/>
      <c r="AD35" s="13"/>
      <c r="AE35" s="28"/>
      <c r="AF35" s="28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s="1" customFormat="1" ht="25" customHeight="1"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s="1" customFormat="1" ht="25" customHeight="1"/>
    <row r="38" spans="1:60" s="1" customFormat="1" ht="25" customHeight="1"/>
    <row r="39" spans="1:60" s="1" customFormat="1" ht="25" customHeight="1"/>
    <row r="40" spans="1:60" s="1" customFormat="1" ht="25" customHeight="1"/>
  </sheetData>
  <autoFilter ref="A2:BH35" xr:uid="{4D384C03-33F5-42B9-8026-F08F6C303DAA}"/>
  <mergeCells count="12">
    <mergeCell ref="F18:F21"/>
    <mergeCell ref="H13:H16"/>
    <mergeCell ref="H18:H21"/>
    <mergeCell ref="AH1:AJ1"/>
    <mergeCell ref="AS1:AV1"/>
    <mergeCell ref="AW1:BG1"/>
    <mergeCell ref="F13:F16"/>
    <mergeCell ref="AD13:AD16"/>
    <mergeCell ref="AE13:AE16"/>
    <mergeCell ref="B1:F1"/>
    <mergeCell ref="Z1:AD1"/>
    <mergeCell ref="AE1:A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102523</dc:creator>
  <cp:lastModifiedBy>启琳 孙</cp:lastModifiedBy>
  <dcterms:created xsi:type="dcterms:W3CDTF">2015-06-05T18:19:34Z</dcterms:created>
  <dcterms:modified xsi:type="dcterms:W3CDTF">2026-08-19T13:08:20Z</dcterms:modified>
</cp:coreProperties>
</file>