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PBOM_HEADER" sheetId="2" state="visible" r:id="rId2"/>
    <sheet xmlns:r="http://schemas.openxmlformats.org/officeDocument/2006/relationships" name="02_PBOM_NODE" sheetId="3" state="visible" r:id="rId3"/>
    <sheet xmlns:r="http://schemas.openxmlformats.org/officeDocument/2006/relationships" name="03_PBOM_OPERATION" sheetId="4" state="visible" r:id="rId4"/>
    <sheet xmlns:r="http://schemas.openxmlformats.org/officeDocument/2006/relationships" name="04_OPERATION_MATERIAL" sheetId="5" state="visible" r:id="rId5"/>
    <sheet xmlns:r="http://schemas.openxmlformats.org/officeDocument/2006/relationships" name="05_OPERATION_RESOURCE" sheetId="6" state="visible" r:id="rId6"/>
    <sheet xmlns:r="http://schemas.openxmlformats.org/officeDocument/2006/relationships" name="06_CAPACITY" sheetId="7" state="visible" r:id="rId7"/>
    <sheet xmlns:r="http://schemas.openxmlformats.org/officeDocument/2006/relationships" name="07_MATERIAL_CONSUMPTION" sheetId="8" state="visible" r:id="rId8"/>
    <sheet xmlns:r="http://schemas.openxmlformats.org/officeDocument/2006/relationships" name="08_AUXILIARY_CONSUMPTION" sheetId="9" state="visible" r:id="rId9"/>
    <sheet xmlns:r="http://schemas.openxmlformats.org/officeDocument/2006/relationships" name="09_PACKAGING" sheetId="10" state="visible" r:id="rId10"/>
    <sheet xmlns:r="http://schemas.openxmlformats.org/officeDocument/2006/relationships" name="10_WIP_POLICY" sheetId="11" state="visible" r:id="rId11"/>
    <sheet xmlns:r="http://schemas.openxmlformats.org/officeDocument/2006/relationships" name="SRC_KL_RA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05496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pBOM 重构说明</t>
        </is>
      </c>
    </row>
    <row r="2">
      <c r="A2" t="inlineStr"/>
    </row>
    <row r="3">
      <c r="A3" s="2" t="inlineStr">
        <is>
          <t>原始: docs/pBOM.xlsx (60 列 × 36 行, 单 sheet KL)</t>
        </is>
      </c>
    </row>
    <row r="4">
      <c r="A4" s="2" t="inlineStr">
        <is>
          <t>导出时间: 2026-08-19 21:23:48</t>
        </is>
      </c>
    </row>
    <row r="5">
      <c r="A5" t="inlineStr"/>
    </row>
    <row r="6">
      <c r="A6" s="2" t="inlineStr">
        <is>
          <t>问题</t>
        </is>
      </c>
    </row>
    <row r="7">
      <c r="A7" t="inlineStr">
        <is>
          <t xml:space="preserve">  ·  一张 60 列"信息大平炉"同时记录 EBOM 层级、PBOM 结构、工艺路线、设备、产能、原材料、耗材、包装、库存策略</t>
        </is>
      </c>
    </row>
    <row r="8">
      <c r="A8" t="inlineStr">
        <is>
          <t xml:space="preserve">  ·  一个物料多个工序无法表达;一个工序多个设备/模具无法表达;物料替代料无法表达;横向扩展维护困难</t>
        </is>
      </c>
    </row>
    <row r="9">
      <c r="A9" t="inlineStr"/>
    </row>
    <row r="10">
      <c r="A10" s="2" t="inlineStr">
        <is>
          <t>重构原则（保留业务信息 + 重构数据结构）</t>
        </is>
      </c>
    </row>
    <row r="11">
      <c r="A11" t="inlineStr">
        <is>
          <t xml:space="preserve">  ·  层级 → 引入 Parent Node / Node ID</t>
        </is>
      </c>
    </row>
    <row r="12">
      <c r="A12" t="inlineStr">
        <is>
          <t xml:space="preserve">  ·  PBOM / 工艺路线 →  01_HEADER + 02_NODE + 03_OPERATION</t>
        </is>
      </c>
    </row>
    <row r="13">
      <c r="A13" t="inlineStr">
        <is>
          <t xml:space="preserve">  ·  设备 → 独立 Operation Resource + 资源主数据</t>
        </is>
      </c>
    </row>
    <row r="14">
      <c r="A14" t="inlineStr">
        <is>
          <t xml:space="preserve">  ·  模具/工装 → 从 PBOM 拆到 Operation Resource</t>
        </is>
      </c>
    </row>
    <row r="15">
      <c r="A15" t="inlineStr">
        <is>
          <t xml:space="preserve">  ·  产能 → 引入 Cycle Time / Pieces Per Cycle / Effective Cycle Time</t>
        </is>
      </c>
    </row>
    <row r="16">
      <c r="A16" t="inlineStr">
        <is>
          <t xml:space="preserve">  ·  原材料 → 独立 Material Consumption (含利用率)</t>
        </is>
      </c>
    </row>
    <row r="17">
      <c r="A17" t="inlineStr">
        <is>
          <t xml:space="preserve">  ·  耗材 → 独立 Auxiliary Consumption (替代 1/2/3/4/5 横向)</t>
        </is>
      </c>
    </row>
    <row r="18">
      <c r="A18" t="inlineStr">
        <is>
          <t xml:space="preserve">  ·  包装 → 独立 Packaging (替代包材 1/2/3/4/5 横向)</t>
        </is>
      </c>
    </row>
    <row r="19">
      <c r="A19" t="inlineStr">
        <is>
          <t xml:space="preserve">  ·  中转天数 → 独立 WIP Policy</t>
        </is>
      </c>
    </row>
    <row r="20">
      <c r="A20" t="inlineStr"/>
    </row>
    <row r="21">
      <c r="A21" s="2" t="inlineStr">
        <is>
          <t>缺失字段补全</t>
        </is>
      </c>
    </row>
    <row r="22">
      <c r="A22" t="inlineStr">
        <is>
          <t xml:space="preserve">  ·  PBOM 编码 / 版本 / 生效日期 / 基地: 源表未记, 占位</t>
        </is>
      </c>
    </row>
    <row r="23">
      <c r="A23" t="inlineStr">
        <is>
          <t xml:space="preserve">  ·  EBOM 版本 A03 / PBOM 版本 A01: 源表"链接EBOM"升级为版本</t>
        </is>
      </c>
    </row>
    <row r="24">
      <c r="A24" t="inlineStr">
        <is>
          <t xml:space="preserve">  ·  Node ID: 源表 5-6 段 layer code 不稳定 → 预序 N001-N020</t>
        </is>
      </c>
    </row>
    <row r="25">
      <c r="A25" t="inlineStr">
        <is>
          <t xml:space="preserve">  ·  Parent Node: 源表 layer 是展示层级, 加 Node 父子关系</t>
        </is>
      </c>
    </row>
    <row r="26">
      <c r="A26" t="inlineStr">
        <is>
          <t xml:space="preserve">  ·  OP ID (OP010/OP020): 源表"工序"列只有名字, 按顺序赋值</t>
        </is>
      </c>
    </row>
    <row r="27">
      <c r="A27" t="inlineStr">
        <is>
          <t xml:space="preserve">  ·  Cycle Time / Pieces Per Cycle / Effective Cycle Time: 源表节拍是公式, 自动算 Effective</t>
        </is>
      </c>
    </row>
    <row r="28">
      <c r="A28" t="inlineStr">
        <is>
          <t xml:space="preserve">  ·  资源编码 EQ-001: 源表设备名直接写在行里, 引入编码外键</t>
        </is>
      </c>
    </row>
    <row r="29">
      <c r="A29" t="inlineStr">
        <is>
          <t xml:space="preserve">  ·  模具编码 DIE-001: 源表未记, 按冲压四工序约定默认</t>
        </is>
      </c>
    </row>
    <row r="30">
      <c r="A30" t="inlineStr">
        <is>
          <t xml:space="preserve">  ·  原料编码 RM-{材质}: 源表无编码字段, 仅占位</t>
        </is>
      </c>
    </row>
    <row r="31">
      <c r="A31" t="inlineStr">
        <is>
          <t xml:space="preserve">  ·  辅料/包材编码: 源表 1/2/3/4/5 横向, 重构后一对多, 自动生成</t>
        </is>
      </c>
    </row>
    <row r="32">
      <c r="A32" t="inlineStr">
        <is>
          <t xml:space="preserve">  ·  利用率 (净重/毛重): 源表可算, 新增</t>
        </is>
      </c>
    </row>
    <row r="33">
      <c r="A33" t="inlineStr"/>
    </row>
    <row r="34">
      <c r="A34" s="2" t="inlineStr">
        <is>
          <t>Sheet 列表</t>
        </is>
      </c>
    </row>
    <row r="35">
      <c r="A35" t="inlineStr">
        <is>
          <t xml:space="preserve">  00_README                  本说明</t>
        </is>
      </c>
    </row>
    <row r="36">
      <c r="A36" t="inlineStr">
        <is>
          <t xml:space="preserve">  01_PBOM_HEADER             产品级元数据</t>
        </is>
      </c>
    </row>
    <row r="37">
      <c r="A37" t="inlineStr">
        <is>
          <t xml:space="preserve">  02_PBOM_NODE               物料层级结构 (含 Parent Node)</t>
        </is>
      </c>
    </row>
    <row r="38">
      <c r="A38" t="inlineStr">
        <is>
          <t xml:space="preserve">  03_PBOM_OPERATION          工艺路线</t>
        </is>
      </c>
    </row>
    <row r="39">
      <c r="A39" t="inlineStr">
        <is>
          <t xml:space="preserve">  04_OPERATION_MATERIAL      工序投入/产出</t>
        </is>
      </c>
    </row>
    <row r="40">
      <c r="A40" t="inlineStr">
        <is>
          <t xml:space="preserve">  05_OPERATION_RESOURCE      设备 / 模具 / 检具</t>
        </is>
      </c>
    </row>
    <row r="41">
      <c r="A41" t="inlineStr">
        <is>
          <t xml:space="preserve">  06_CAPACITY                产能 (含 Cycle/Pieces/Eff)</t>
        </is>
      </c>
    </row>
    <row r="42">
      <c r="A42" t="inlineStr">
        <is>
          <t xml:space="preserve">  07_MATERIAL_CONSUMPTION    原材料规格 (含利用率)</t>
        </is>
      </c>
    </row>
    <row r="43">
      <c r="A43" t="inlineStr">
        <is>
          <t xml:space="preserve">  08_AUXILIARY_CONSUMPTION   辅料 (焊丝/气体等)</t>
        </is>
      </c>
    </row>
    <row r="44">
      <c r="A44" t="inlineStr">
        <is>
          <t xml:space="preserve">  09_PACKAGING               包装 (一对多)</t>
        </is>
      </c>
    </row>
    <row r="45">
      <c r="A45" t="inlineStr">
        <is>
          <t xml:space="preserve">  10_WIP_POLICY              工序间库存与生产提前期</t>
        </is>
      </c>
    </row>
    <row r="46">
      <c r="A46" t="inlineStr">
        <is>
          <t xml:space="preserve">  SRC_KL_RAW                 原始 60 列保留</t>
        </is>
      </c>
    </row>
    <row r="47">
      <c r="A47" t="inlineStr"/>
    </row>
    <row r="48">
      <c r="A48" s="2" t="inlineStr">
        <is>
          <t>下一步建议</t>
        </is>
      </c>
    </row>
    <row r="49">
      <c r="A49" t="inlineStr">
        <is>
          <t xml:space="preserve">  ·  引入物料/设备/模具/工序主数据 sheet, 建立真正外键</t>
        </is>
      </c>
    </row>
    <row r="50">
      <c r="A50" t="inlineStr">
        <is>
          <t xml:space="preserve">  ·  与 Sage X3 / MES 接口标准化 (Node ID 作为内部主键)</t>
        </is>
      </c>
    </row>
    <row r="51">
      <c r="A51" t="inlineStr">
        <is>
          <t xml:space="preserve">  ·  补充 PBOM 编制人/审批人/失效日期/版本追溯字段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30" customWidth="1" min="9" max="9"/>
  </cols>
  <sheetData>
    <row r="1">
      <c r="A1" s="3" t="inlineStr">
        <is>
          <t>PBOM编码</t>
        </is>
      </c>
      <c r="B1" s="3" t="inlineStr">
        <is>
          <t>产品编码</t>
        </is>
      </c>
      <c r="C1" s="3" t="inlineStr">
        <is>
          <t>产品名称</t>
        </is>
      </c>
      <c r="D1" s="3" t="inlineStr">
        <is>
          <t>PBOM版本</t>
        </is>
      </c>
      <c r="E1" s="3" t="inlineStr">
        <is>
          <t>EBOM版本</t>
        </is>
      </c>
      <c r="F1" s="3" t="inlineStr">
        <is>
          <t>状态</t>
        </is>
      </c>
      <c r="G1" s="3" t="inlineStr">
        <is>
          <t>生效日期</t>
        </is>
      </c>
      <c r="H1" s="3" t="inlineStr">
        <is>
          <t>工厂/基地</t>
        </is>
      </c>
      <c r="I1" s="3" t="inlineStr">
        <is>
          <t>备注</t>
        </is>
      </c>
    </row>
    <row r="2">
      <c r="A2" s="4" t="inlineStr">
        <is>
          <t>PBOM-7196B1000001</t>
        </is>
      </c>
      <c r="B2" s="4" t="inlineStr">
        <is>
          <t>7196B1000001</t>
        </is>
      </c>
      <c r="C2" s="4" t="inlineStr">
        <is>
          <t>制动踏板总成</t>
        </is>
      </c>
      <c r="D2" s="4" t="inlineStr">
        <is>
          <t>A01</t>
        </is>
      </c>
      <c r="E2" s="4" t="inlineStr">
        <is>
          <t>A03</t>
        </is>
      </c>
      <c r="F2" s="4" t="inlineStr">
        <is>
          <t>已发布</t>
        </is>
      </c>
      <c r="G2" s="4" t="inlineStr">
        <is>
          <t>2026-08-01</t>
        </is>
      </c>
      <c r="H2" s="4" t="inlineStr">
        <is>
          <t>基地A</t>
        </is>
      </c>
      <c r="I2" s="4" t="inlineStr">
        <is>
          <t>依据 pBOM.xlsx 重构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22" customWidth="1" min="5" max="5"/>
    <col width="12" customWidth="1" min="6" max="6"/>
    <col width="12" customWidth="1" min="7" max="7"/>
    <col width="8" customWidth="1" min="8" max="8"/>
    <col width="8" customWidth="1" min="9" max="9"/>
  </cols>
  <sheetData>
    <row r="1">
      <c r="A1" s="3" t="inlineStr">
        <is>
          <t>Node ID</t>
        </is>
      </c>
      <c r="B1" s="3" t="inlineStr">
        <is>
          <t>Parent Node</t>
        </is>
      </c>
      <c r="C1" s="3" t="inlineStr">
        <is>
          <t>层级路径</t>
        </is>
      </c>
      <c r="D1" s="3" t="inlineStr">
        <is>
          <t>物料编码</t>
        </is>
      </c>
      <c r="E1" s="3" t="inlineStr">
        <is>
          <t>物料名称</t>
        </is>
      </c>
      <c r="F1" s="3" t="inlineStr">
        <is>
          <t>物料类型</t>
        </is>
      </c>
      <c r="G1" s="3" t="inlineStr">
        <is>
          <t>制造方式</t>
        </is>
      </c>
      <c r="H1" s="3" t="inlineStr">
        <is>
          <t>数量</t>
        </is>
      </c>
      <c r="I1" s="3" t="inlineStr">
        <is>
          <t>单位</t>
        </is>
      </c>
    </row>
    <row r="2">
      <c r="A2" s="4" t="inlineStr">
        <is>
          <t>N001</t>
        </is>
      </c>
      <c r="B2" s="4" t="inlineStr"/>
      <c r="C2" s="4" t="inlineStr">
        <is>
          <t>1</t>
        </is>
      </c>
      <c r="D2" s="4" t="inlineStr">
        <is>
          <t>7196B1000001</t>
        </is>
      </c>
      <c r="E2" s="4" t="inlineStr">
        <is>
          <t>制动踏板总成</t>
        </is>
      </c>
      <c r="F2" s="4" t="inlineStr">
        <is>
          <t>成品</t>
        </is>
      </c>
      <c r="G2" s="4" t="inlineStr">
        <is>
          <t>自制</t>
        </is>
      </c>
      <c r="H2" s="5" t="n">
        <v>1</v>
      </c>
      <c r="I2" s="4" t="inlineStr">
        <is>
          <t>EA</t>
        </is>
      </c>
    </row>
    <row r="3">
      <c r="A3" s="4" t="inlineStr">
        <is>
          <t>N002</t>
        </is>
      </c>
      <c r="B3" s="4" t="inlineStr">
        <is>
          <t>N001</t>
        </is>
      </c>
      <c r="C3" s="4" t="inlineStr">
        <is>
          <t>1.1</t>
        </is>
      </c>
      <c r="D3" s="4" t="inlineStr">
        <is>
          <t>69F196B00002</t>
        </is>
      </c>
      <c r="E3" s="4" t="inlineStr">
        <is>
          <t>主支架</t>
        </is>
      </c>
      <c r="F3" s="4" t="inlineStr">
        <is>
          <t>半成品</t>
        </is>
      </c>
      <c r="G3" s="4" t="inlineStr">
        <is>
          <t>自制</t>
        </is>
      </c>
      <c r="H3" s="5" t="n">
        <v>1</v>
      </c>
      <c r="I3" s="4" t="inlineStr">
        <is>
          <t>EA</t>
        </is>
      </c>
    </row>
    <row r="4">
      <c r="A4" s="4" t="inlineStr">
        <is>
          <t>N003</t>
        </is>
      </c>
      <c r="B4" s="4" t="inlineStr">
        <is>
          <t>N002</t>
        </is>
      </c>
      <c r="C4" s="4" t="inlineStr">
        <is>
          <t>1.1.1</t>
        </is>
      </c>
      <c r="D4" s="4" t="inlineStr">
        <is>
          <t>5B9900000046</t>
        </is>
      </c>
      <c r="E4" s="4" t="inlineStr">
        <is>
          <t>底部金属衬套-小</t>
        </is>
      </c>
      <c r="F4" s="4" t="inlineStr">
        <is>
          <t>外购件</t>
        </is>
      </c>
      <c r="G4" s="4" t="inlineStr">
        <is>
          <t>外购</t>
        </is>
      </c>
      <c r="H4" s="5" t="n">
        <v>1</v>
      </c>
      <c r="I4" s="4" t="inlineStr">
        <is>
          <t>EA</t>
        </is>
      </c>
    </row>
    <row r="5">
      <c r="A5" s="4" t="inlineStr">
        <is>
          <t>N004</t>
        </is>
      </c>
      <c r="B5" s="4" t="inlineStr">
        <is>
          <t>N002</t>
        </is>
      </c>
      <c r="C5" s="4" t="inlineStr">
        <is>
          <t>1.1.2</t>
        </is>
      </c>
      <c r="D5" s="4" t="inlineStr">
        <is>
          <t>5B9900000044</t>
        </is>
      </c>
      <c r="E5" s="4" t="inlineStr">
        <is>
          <t>底部金属衬套-长</t>
        </is>
      </c>
      <c r="F5" s="4" t="inlineStr">
        <is>
          <t>外购件</t>
        </is>
      </c>
      <c r="G5" s="4" t="inlineStr">
        <is>
          <t>外购</t>
        </is>
      </c>
      <c r="H5" s="5" t="n">
        <v>1</v>
      </c>
      <c r="I5" s="4" t="inlineStr">
        <is>
          <t>EA</t>
        </is>
      </c>
    </row>
    <row r="6">
      <c r="A6" s="4" t="inlineStr">
        <is>
          <t>N005</t>
        </is>
      </c>
      <c r="B6" s="4" t="inlineStr">
        <is>
          <t>N002</t>
        </is>
      </c>
      <c r="C6" s="4" t="inlineStr">
        <is>
          <t>1.1.3</t>
        </is>
      </c>
      <c r="D6" s="4" t="inlineStr">
        <is>
          <t>5B9900000045</t>
        </is>
      </c>
      <c r="E6" s="4" t="inlineStr">
        <is>
          <t>底部金属衬套-大</t>
        </is>
      </c>
      <c r="F6" s="4" t="inlineStr">
        <is>
          <t>外购件</t>
        </is>
      </c>
      <c r="G6" s="4" t="inlineStr">
        <is>
          <t>外购</t>
        </is>
      </c>
      <c r="H6" s="5" t="n">
        <v>2</v>
      </c>
      <c r="I6" s="4" t="inlineStr">
        <is>
          <t>EA</t>
        </is>
      </c>
    </row>
    <row r="7">
      <c r="A7" s="4" t="inlineStr">
        <is>
          <t>N006</t>
        </is>
      </c>
      <c r="B7" s="4" t="inlineStr">
        <is>
          <t>N001</t>
        </is>
      </c>
      <c r="C7" s="4" t="inlineStr">
        <is>
          <t>1.2</t>
        </is>
      </c>
      <c r="D7" s="4" t="inlineStr">
        <is>
          <t>69F196B00003</t>
        </is>
      </c>
      <c r="E7" s="4" t="inlineStr">
        <is>
          <t>踏板罩</t>
        </is>
      </c>
      <c r="F7" s="4" t="inlineStr">
        <is>
          <t>半成品</t>
        </is>
      </c>
      <c r="G7" s="4" t="inlineStr">
        <is>
          <t>自制</t>
        </is>
      </c>
      <c r="H7" s="5" t="n">
        <v>1</v>
      </c>
      <c r="I7" s="4" t="inlineStr">
        <is>
          <t>EA</t>
        </is>
      </c>
    </row>
    <row r="8">
      <c r="A8" s="4" t="inlineStr">
        <is>
          <t>N007</t>
        </is>
      </c>
      <c r="B8" s="4" t="inlineStr">
        <is>
          <t>N001</t>
        </is>
      </c>
      <c r="C8" s="4" t="inlineStr">
        <is>
          <t>1.3</t>
        </is>
      </c>
      <c r="D8" s="4" t="inlineStr">
        <is>
          <t>604400000004</t>
        </is>
      </c>
      <c r="E8" s="4" t="inlineStr">
        <is>
          <t>球窝支架</t>
        </is>
      </c>
      <c r="F8" s="4" t="inlineStr">
        <is>
          <t>半成品</t>
        </is>
      </c>
      <c r="G8" s="4" t="inlineStr">
        <is>
          <t>自制</t>
        </is>
      </c>
      <c r="H8" s="5" t="n">
        <v>1</v>
      </c>
      <c r="I8" s="4" t="inlineStr">
        <is>
          <t>EA</t>
        </is>
      </c>
    </row>
    <row r="9">
      <c r="A9" s="4" t="inlineStr">
        <is>
          <t>N008</t>
        </is>
      </c>
      <c r="B9" s="4" t="inlineStr">
        <is>
          <t>N001</t>
        </is>
      </c>
      <c r="C9" s="4" t="inlineStr">
        <is>
          <t>1.4</t>
        </is>
      </c>
      <c r="D9" s="4" t="inlineStr">
        <is>
          <t>48196B000001</t>
        </is>
      </c>
      <c r="E9" s="4" t="inlineStr">
        <is>
          <t>踏板臂组件</t>
        </is>
      </c>
      <c r="F9" s="4" t="inlineStr">
        <is>
          <t>外协件</t>
        </is>
      </c>
      <c r="G9" s="4" t="inlineStr">
        <is>
          <t>外协</t>
        </is>
      </c>
      <c r="H9" s="5" t="n">
        <v>1</v>
      </c>
      <c r="I9" s="4" t="inlineStr">
        <is>
          <t>EA</t>
        </is>
      </c>
    </row>
    <row r="10">
      <c r="A10" s="4" t="inlineStr">
        <is>
          <t>N009</t>
        </is>
      </c>
      <c r="B10" s="4" t="inlineStr">
        <is>
          <t>N008</t>
        </is>
      </c>
      <c r="C10" s="4" t="inlineStr">
        <is>
          <t>1.4.1</t>
        </is>
      </c>
      <c r="D10" s="4" t="inlineStr">
        <is>
          <t>44196B000003</t>
        </is>
      </c>
      <c r="E10" s="4" t="inlineStr">
        <is>
          <t>踏板臂焊接组件</t>
        </is>
      </c>
      <c r="F10" s="4" t="inlineStr">
        <is>
          <t>半成品</t>
        </is>
      </c>
      <c r="G10" s="4" t="inlineStr">
        <is>
          <t>自制</t>
        </is>
      </c>
      <c r="H10" s="5" t="n">
        <v>1</v>
      </c>
      <c r="I10" s="4" t="inlineStr">
        <is>
          <t>EA</t>
        </is>
      </c>
    </row>
    <row r="11">
      <c r="A11" s="4" t="inlineStr">
        <is>
          <t>N010</t>
        </is>
      </c>
      <c r="B11" s="4" t="inlineStr">
        <is>
          <t>N009</t>
        </is>
      </c>
      <c r="C11" s="4" t="inlineStr">
        <is>
          <t>1.4.1.1</t>
        </is>
      </c>
      <c r="D11" s="4" t="inlineStr">
        <is>
          <t>44196B000002</t>
        </is>
      </c>
      <c r="E11" s="4" t="inlineStr">
        <is>
          <t>空心踏板臂组件</t>
        </is>
      </c>
      <c r="F11" s="4" t="inlineStr">
        <is>
          <t>半成品</t>
        </is>
      </c>
      <c r="G11" s="4" t="inlineStr">
        <is>
          <t>自制</t>
        </is>
      </c>
      <c r="H11" s="5" t="n">
        <v>1</v>
      </c>
      <c r="I11" s="4" t="inlineStr">
        <is>
          <t>EA</t>
        </is>
      </c>
    </row>
    <row r="12">
      <c r="A12" s="4" t="inlineStr">
        <is>
          <t>N011</t>
        </is>
      </c>
      <c r="B12" s="4" t="inlineStr">
        <is>
          <t>N010</t>
        </is>
      </c>
      <c r="C12" s="4" t="inlineStr">
        <is>
          <t>1.4.1.1.1</t>
        </is>
      </c>
      <c r="D12" s="4" t="inlineStr">
        <is>
          <t>41196B000002</t>
        </is>
      </c>
      <c r="E12" s="4" t="inlineStr">
        <is>
          <t>空心踏板臂-左</t>
        </is>
      </c>
      <c r="F12" s="4" t="inlineStr">
        <is>
          <t>半成品</t>
        </is>
      </c>
      <c r="G12" s="4" t="inlineStr">
        <is>
          <t>自制</t>
        </is>
      </c>
      <c r="H12" s="5" t="n">
        <v>1</v>
      </c>
      <c r="I12" s="4" t="inlineStr">
        <is>
          <t>EA</t>
        </is>
      </c>
    </row>
    <row r="13">
      <c r="A13" s="4" t="inlineStr">
        <is>
          <t>N012</t>
        </is>
      </c>
      <c r="B13" s="4" t="inlineStr">
        <is>
          <t>N010</t>
        </is>
      </c>
      <c r="C13" s="4" t="inlineStr">
        <is>
          <t>1.4.1.1.2</t>
        </is>
      </c>
      <c r="D13" s="4" t="inlineStr">
        <is>
          <t>41196B000003</t>
        </is>
      </c>
      <c r="E13" s="4" t="inlineStr">
        <is>
          <t>空心踏板臂-右</t>
        </is>
      </c>
      <c r="F13" s="4" t="inlineStr">
        <is>
          <t>半成品</t>
        </is>
      </c>
      <c r="G13" s="4" t="inlineStr">
        <is>
          <t>自制</t>
        </is>
      </c>
      <c r="H13" s="5" t="n">
        <v>1</v>
      </c>
      <c r="I13" s="4" t="inlineStr">
        <is>
          <t>EA</t>
        </is>
      </c>
    </row>
    <row r="14">
      <c r="A14" s="4" t="inlineStr">
        <is>
          <t>N013</t>
        </is>
      </c>
      <c r="B14" s="4" t="inlineStr">
        <is>
          <t>N009</t>
        </is>
      </c>
      <c r="C14" s="4" t="inlineStr">
        <is>
          <t>1.4.1.2</t>
        </is>
      </c>
      <c r="D14" s="4" t="inlineStr">
        <is>
          <t>41196B000001</t>
        </is>
      </c>
      <c r="E14" s="4" t="inlineStr">
        <is>
          <t>踏板片</t>
        </is>
      </c>
      <c r="F14" s="4" t="inlineStr">
        <is>
          <t>半成品</t>
        </is>
      </c>
      <c r="G14" s="4" t="inlineStr">
        <is>
          <t>自制</t>
        </is>
      </c>
      <c r="H14" s="5" t="n">
        <v>1</v>
      </c>
      <c r="I14" s="4" t="inlineStr">
        <is>
          <t>EA</t>
        </is>
      </c>
    </row>
    <row r="15">
      <c r="A15" s="4" t="inlineStr">
        <is>
          <t>N014</t>
        </is>
      </c>
      <c r="B15" s="4" t="inlineStr">
        <is>
          <t>N009</t>
        </is>
      </c>
      <c r="C15" s="4" t="inlineStr">
        <is>
          <t>1.4.1.3</t>
        </is>
      </c>
      <c r="D15" s="4" t="inlineStr"/>
      <c r="E15" s="4" t="inlineStr">
        <is>
          <t>球窝罩壳-焊接</t>
        </is>
      </c>
      <c r="F15" s="4" t="inlineStr">
        <is>
          <t>半成品</t>
        </is>
      </c>
      <c r="G15" s="4" t="inlineStr">
        <is>
          <t>自制</t>
        </is>
      </c>
      <c r="H15" s="5" t="n">
        <v>1</v>
      </c>
      <c r="I15" s="4" t="inlineStr">
        <is>
          <t>EA</t>
        </is>
      </c>
    </row>
    <row r="16">
      <c r="A16" s="4" t="inlineStr">
        <is>
          <t>N015</t>
        </is>
      </c>
      <c r="B16" s="4" t="inlineStr">
        <is>
          <t>N014</t>
        </is>
      </c>
      <c r="C16" s="4" t="inlineStr">
        <is>
          <t>1.4.1.3.1</t>
        </is>
      </c>
      <c r="D16" s="4" t="inlineStr">
        <is>
          <t>41101B000112</t>
        </is>
      </c>
      <c r="E16" s="4" t="inlineStr">
        <is>
          <t>球窝罩壳</t>
        </is>
      </c>
      <c r="F16" s="4" t="inlineStr">
        <is>
          <t>半成品</t>
        </is>
      </c>
      <c r="G16" s="4" t="inlineStr">
        <is>
          <t>自制</t>
        </is>
      </c>
      <c r="H16" s="5" t="n">
        <v>1</v>
      </c>
      <c r="I16" s="4" t="inlineStr">
        <is>
          <t>EA</t>
        </is>
      </c>
    </row>
    <row r="17">
      <c r="A17" s="4" t="inlineStr">
        <is>
          <t>N016</t>
        </is>
      </c>
      <c r="B17" s="4" t="inlineStr">
        <is>
          <t>N009</t>
        </is>
      </c>
      <c r="C17" s="4" t="inlineStr">
        <is>
          <t>1.4.1.4</t>
        </is>
      </c>
      <c r="D17" s="4" t="inlineStr">
        <is>
          <t>4910102070000901</t>
        </is>
      </c>
      <c r="E17" s="4" t="inlineStr">
        <is>
          <t>外轴</t>
        </is>
      </c>
      <c r="F17" s="4" t="inlineStr">
        <is>
          <t>外购件</t>
        </is>
      </c>
      <c r="G17" s="4" t="inlineStr">
        <is>
          <t>外购</t>
        </is>
      </c>
      <c r="H17" s="5" t="n">
        <v>1</v>
      </c>
      <c r="I17" s="4" t="inlineStr">
        <is>
          <t>EA</t>
        </is>
      </c>
    </row>
    <row r="18">
      <c r="A18" s="4" t="inlineStr">
        <is>
          <t>N017</t>
        </is>
      </c>
      <c r="B18" s="4" t="inlineStr">
        <is>
          <t>N001</t>
        </is>
      </c>
      <c r="C18" s="4" t="inlineStr">
        <is>
          <t>1.5</t>
        </is>
      </c>
      <c r="D18" s="4" t="inlineStr">
        <is>
          <t>4910102070001601</t>
        </is>
      </c>
      <c r="E18" s="4" t="inlineStr">
        <is>
          <t>球窝垫片</t>
        </is>
      </c>
      <c r="F18" s="4" t="inlineStr">
        <is>
          <t>外购件</t>
        </is>
      </c>
      <c r="G18" s="4" t="inlineStr">
        <is>
          <t>外购</t>
        </is>
      </c>
      <c r="H18" s="5" t="n">
        <v>1</v>
      </c>
      <c r="I18" s="4" t="inlineStr">
        <is>
          <t>EA</t>
        </is>
      </c>
    </row>
    <row r="19">
      <c r="A19" s="4" t="inlineStr">
        <is>
          <t>N018</t>
        </is>
      </c>
      <c r="B19" s="4" t="inlineStr">
        <is>
          <t>N001</t>
        </is>
      </c>
      <c r="C19" s="4" t="inlineStr">
        <is>
          <t>1.6</t>
        </is>
      </c>
      <c r="D19" s="4" t="inlineStr">
        <is>
          <t>503114470001</t>
        </is>
      </c>
      <c r="E19" s="4" t="inlineStr">
        <is>
          <t>润滑轴套</t>
        </is>
      </c>
      <c r="F19" s="4" t="inlineStr">
        <is>
          <t>外购件</t>
        </is>
      </c>
      <c r="G19" s="4" t="inlineStr">
        <is>
          <t>外购</t>
        </is>
      </c>
      <c r="H19" s="5" t="n">
        <v>2</v>
      </c>
      <c r="I19" s="4" t="inlineStr">
        <is>
          <t>EA</t>
        </is>
      </c>
    </row>
    <row r="20">
      <c r="A20" s="4" t="inlineStr">
        <is>
          <t>N019</t>
        </is>
      </c>
      <c r="B20" s="4" t="inlineStr">
        <is>
          <t>N001</t>
        </is>
      </c>
      <c r="C20" s="4" t="inlineStr">
        <is>
          <t>1.7</t>
        </is>
      </c>
      <c r="D20" s="4" t="inlineStr">
        <is>
          <t>4910102140001301</t>
        </is>
      </c>
      <c r="E20" s="4" t="inlineStr">
        <is>
          <t>回转轴</t>
        </is>
      </c>
      <c r="F20" s="4" t="inlineStr">
        <is>
          <t>外购件</t>
        </is>
      </c>
      <c r="G20" s="4" t="inlineStr">
        <is>
          <t>外购</t>
        </is>
      </c>
      <c r="H20" s="5" t="n">
        <v>1</v>
      </c>
      <c r="I20" s="4" t="inlineStr">
        <is>
          <t>EA</t>
        </is>
      </c>
    </row>
    <row r="21">
      <c r="A21" s="4" t="inlineStr">
        <is>
          <t>N020</t>
        </is>
      </c>
      <c r="B21" s="4" t="inlineStr">
        <is>
          <t>N001</t>
        </is>
      </c>
      <c r="C21" s="4" t="inlineStr">
        <is>
          <t>1.8</t>
        </is>
      </c>
      <c r="D21" s="4" t="inlineStr">
        <is>
          <t>504612220002</t>
        </is>
      </c>
      <c r="E21" s="4" t="inlineStr">
        <is>
          <t>防松挡卡</t>
        </is>
      </c>
      <c r="F21" s="4" t="inlineStr">
        <is>
          <t>外购件</t>
        </is>
      </c>
      <c r="G21" s="4" t="inlineStr">
        <is>
          <t>外购</t>
        </is>
      </c>
      <c r="H21" s="5" t="n">
        <v>1</v>
      </c>
      <c r="I21" s="4" t="inlineStr">
        <is>
          <t>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8" customWidth="1" min="9" max="9"/>
    <col width="10" customWidth="1" min="10" max="10"/>
  </cols>
  <sheetData>
    <row r="1">
      <c r="A1" s="3" t="inlineStr">
        <is>
          <t>PBOM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工序ID</t>
        </is>
      </c>
      <c r="E1" s="3" t="inlineStr">
        <is>
          <t>工序号</t>
        </is>
      </c>
      <c r="F1" s="3" t="inlineStr">
        <is>
          <t>工序名称</t>
        </is>
      </c>
      <c r="G1" s="3" t="inlineStr">
        <is>
          <t>工艺类型</t>
        </is>
      </c>
      <c r="H1" s="3" t="inlineStr">
        <is>
          <t>工作中心</t>
        </is>
      </c>
      <c r="I1" s="3" t="inlineStr">
        <is>
          <t>顺序</t>
        </is>
      </c>
      <c r="J1" s="3" t="inlineStr">
        <is>
          <t>原表行号</t>
        </is>
      </c>
    </row>
    <row r="2">
      <c r="A2" s="4" t="inlineStr">
        <is>
          <t>PBOM-7196B1000001</t>
        </is>
      </c>
      <c r="B2" s="4" t="inlineStr">
        <is>
          <t>N001</t>
        </is>
      </c>
      <c r="C2" s="4" t="inlineStr">
        <is>
          <t>7196B1000001</t>
        </is>
      </c>
      <c r="D2" s="4" t="inlineStr">
        <is>
          <t>N001-OP010</t>
        </is>
      </c>
      <c r="E2" s="4" t="inlineStr">
        <is>
          <t>OP10</t>
        </is>
      </c>
      <c r="F2" s="4" t="inlineStr">
        <is>
          <t>总成组装</t>
        </is>
      </c>
      <c r="G2" s="4" t="inlineStr">
        <is>
          <t>组装</t>
        </is>
      </c>
      <c r="H2" s="4" t="inlineStr">
        <is>
          <t>WC-ASM</t>
        </is>
      </c>
      <c r="I2" s="5" t="n">
        <v>10</v>
      </c>
      <c r="J2" s="5" t="n">
        <v>3</v>
      </c>
    </row>
    <row r="3">
      <c r="A3" s="4" t="inlineStr">
        <is>
          <t>PBOM-7196B1000001</t>
        </is>
      </c>
      <c r="B3" s="4" t="inlineStr">
        <is>
          <t>N002</t>
        </is>
      </c>
      <c r="C3" s="4" t="inlineStr">
        <is>
          <t>69F196B00002</t>
        </is>
      </c>
      <c r="D3" s="4" t="inlineStr">
        <is>
          <t>N002-OP010</t>
        </is>
      </c>
      <c r="E3" s="4" t="inlineStr">
        <is>
          <t>OP10</t>
        </is>
      </c>
      <c r="F3" s="4" t="inlineStr">
        <is>
          <t>注塑</t>
        </is>
      </c>
      <c r="G3" s="4" t="inlineStr">
        <is>
          <t>注塑</t>
        </is>
      </c>
      <c r="H3" s="4" t="inlineStr">
        <is>
          <t>WC-INJ</t>
        </is>
      </c>
      <c r="I3" s="5" t="n">
        <v>10</v>
      </c>
      <c r="J3" s="5" t="n">
        <v>4</v>
      </c>
    </row>
    <row r="4">
      <c r="A4" s="4" t="inlineStr">
        <is>
          <t>PBOM-7196B1000001</t>
        </is>
      </c>
      <c r="B4" s="4" t="inlineStr">
        <is>
          <t>N003</t>
        </is>
      </c>
      <c r="C4" s="4" t="inlineStr">
        <is>
          <t>5B9900000046</t>
        </is>
      </c>
      <c r="D4" s="4" t="inlineStr">
        <is>
          <t>N003-OP010</t>
        </is>
      </c>
      <c r="E4" s="4" t="inlineStr">
        <is>
          <t>OP10</t>
        </is>
      </c>
      <c r="F4" s="4" t="inlineStr">
        <is>
          <t>/</t>
        </is>
      </c>
      <c r="G4" s="4" t="inlineStr">
        <is>
          <t>/</t>
        </is>
      </c>
      <c r="H4" s="4" t="inlineStr">
        <is>
          <t>WC-MISC</t>
        </is>
      </c>
      <c r="I4" s="5" t="n">
        <v>10</v>
      </c>
      <c r="J4" s="5" t="n">
        <v>5</v>
      </c>
    </row>
    <row r="5">
      <c r="A5" s="4" t="inlineStr">
        <is>
          <t>PBOM-7196B1000001</t>
        </is>
      </c>
      <c r="B5" s="4" t="inlineStr">
        <is>
          <t>N004</t>
        </is>
      </c>
      <c r="C5" s="4" t="inlineStr">
        <is>
          <t>5B9900000044</t>
        </is>
      </c>
      <c r="D5" s="4" t="inlineStr">
        <is>
          <t>N004-OP010</t>
        </is>
      </c>
      <c r="E5" s="4" t="inlineStr">
        <is>
          <t>OP10</t>
        </is>
      </c>
      <c r="F5" s="4" t="inlineStr">
        <is>
          <t>/</t>
        </is>
      </c>
      <c r="G5" s="4" t="inlineStr">
        <is>
          <t>/</t>
        </is>
      </c>
      <c r="H5" s="4" t="inlineStr">
        <is>
          <t>WC-MISC</t>
        </is>
      </c>
      <c r="I5" s="5" t="n">
        <v>10</v>
      </c>
      <c r="J5" s="5" t="n">
        <v>6</v>
      </c>
    </row>
    <row r="6">
      <c r="A6" s="4" t="inlineStr">
        <is>
          <t>PBOM-7196B1000001</t>
        </is>
      </c>
      <c r="B6" s="4" t="inlineStr">
        <is>
          <t>N005</t>
        </is>
      </c>
      <c r="C6" s="4" t="inlineStr">
        <is>
          <t>5B9900000045</t>
        </is>
      </c>
      <c r="D6" s="4" t="inlineStr">
        <is>
          <t>N005-OP010</t>
        </is>
      </c>
      <c r="E6" s="4" t="inlineStr">
        <is>
          <t>OP10</t>
        </is>
      </c>
      <c r="F6" s="4" t="inlineStr">
        <is>
          <t>/</t>
        </is>
      </c>
      <c r="G6" s="4" t="inlineStr">
        <is>
          <t>/</t>
        </is>
      </c>
      <c r="H6" s="4" t="inlineStr">
        <is>
          <t>WC-MISC</t>
        </is>
      </c>
      <c r="I6" s="5" t="n">
        <v>10</v>
      </c>
      <c r="J6" s="5" t="n">
        <v>7</v>
      </c>
    </row>
    <row r="7">
      <c r="A7" s="4" t="inlineStr">
        <is>
          <t>PBOM-7196B1000001</t>
        </is>
      </c>
      <c r="B7" s="4" t="inlineStr">
        <is>
          <t>N006</t>
        </is>
      </c>
      <c r="C7" s="4" t="inlineStr">
        <is>
          <t>69F196B00003</t>
        </is>
      </c>
      <c r="D7" s="4" t="inlineStr">
        <is>
          <t>N006-OP010</t>
        </is>
      </c>
      <c r="E7" s="4" t="inlineStr">
        <is>
          <t>OP10</t>
        </is>
      </c>
      <c r="F7" s="4" t="inlineStr">
        <is>
          <t>注塑</t>
        </is>
      </c>
      <c r="G7" s="4" t="inlineStr">
        <is>
          <t>注塑</t>
        </is>
      </c>
      <c r="H7" s="4" t="inlineStr">
        <is>
          <t>WC-INJ</t>
        </is>
      </c>
      <c r="I7" s="5" t="n">
        <v>10</v>
      </c>
      <c r="J7" s="5" t="n">
        <v>8</v>
      </c>
    </row>
    <row r="8">
      <c r="A8" s="4" t="inlineStr">
        <is>
          <t>PBOM-7196B1000001</t>
        </is>
      </c>
      <c r="B8" s="4" t="inlineStr">
        <is>
          <t>N007</t>
        </is>
      </c>
      <c r="C8" s="4" t="inlineStr">
        <is>
          <t>604400000004</t>
        </is>
      </c>
      <c r="D8" s="4" t="inlineStr">
        <is>
          <t>N007-OP010</t>
        </is>
      </c>
      <c r="E8" s="4" t="inlineStr">
        <is>
          <t>OP10</t>
        </is>
      </c>
      <c r="F8" s="4" t="inlineStr">
        <is>
          <t>注塑</t>
        </is>
      </c>
      <c r="G8" s="4" t="inlineStr">
        <is>
          <t>注塑</t>
        </is>
      </c>
      <c r="H8" s="4" t="inlineStr">
        <is>
          <t>WC-INJ</t>
        </is>
      </c>
      <c r="I8" s="5" t="n">
        <v>10</v>
      </c>
      <c r="J8" s="5" t="n">
        <v>9</v>
      </c>
    </row>
    <row r="9">
      <c r="A9" s="4" t="inlineStr">
        <is>
          <t>PBOM-7196B1000001</t>
        </is>
      </c>
      <c r="B9" s="4" t="inlineStr">
        <is>
          <t>N008</t>
        </is>
      </c>
      <c r="C9" s="4" t="inlineStr">
        <is>
          <t>48196B000001</t>
        </is>
      </c>
      <c r="D9" s="4" t="inlineStr">
        <is>
          <t>N008-OP010</t>
        </is>
      </c>
      <c r="E9" s="4" t="inlineStr">
        <is>
          <t>OP10</t>
        </is>
      </c>
      <c r="F9" s="4" t="inlineStr">
        <is>
          <t>电泳</t>
        </is>
      </c>
      <c r="G9" s="4" t="inlineStr">
        <is>
          <t>电泳</t>
        </is>
      </c>
      <c r="H9" s="4" t="inlineStr">
        <is>
          <t>WC-COAT</t>
        </is>
      </c>
      <c r="I9" s="5" t="n">
        <v>10</v>
      </c>
      <c r="J9" s="5" t="n">
        <v>10</v>
      </c>
    </row>
    <row r="10">
      <c r="A10" s="4" t="inlineStr">
        <is>
          <t>PBOM-7196B1000001</t>
        </is>
      </c>
      <c r="B10" s="4" t="inlineStr">
        <is>
          <t>N009</t>
        </is>
      </c>
      <c r="C10" s="4" t="inlineStr">
        <is>
          <t>44196B000003</t>
        </is>
      </c>
      <c r="D10" s="4" t="inlineStr">
        <is>
          <t>N009-OP010</t>
        </is>
      </c>
      <c r="E10" s="4" t="inlineStr">
        <is>
          <t>OP10</t>
        </is>
      </c>
      <c r="F10" s="4" t="inlineStr">
        <is>
          <t>保护焊</t>
        </is>
      </c>
      <c r="G10" s="4" t="inlineStr">
        <is>
          <t>焊接</t>
        </is>
      </c>
      <c r="H10" s="4" t="inlineStr">
        <is>
          <t>WC-WELD</t>
        </is>
      </c>
      <c r="I10" s="5" t="n">
        <v>10</v>
      </c>
      <c r="J10" s="5" t="n">
        <v>11</v>
      </c>
    </row>
    <row r="11">
      <c r="A11" s="4" t="inlineStr">
        <is>
          <t>PBOM-7196B1000001</t>
        </is>
      </c>
      <c r="B11" s="4" t="inlineStr">
        <is>
          <t>N010</t>
        </is>
      </c>
      <c r="C11" s="4" t="inlineStr">
        <is>
          <t>44196B000002</t>
        </is>
      </c>
      <c r="D11" s="4" t="inlineStr">
        <is>
          <t>N010-OP010</t>
        </is>
      </c>
      <c r="E11" s="4" t="inlineStr">
        <is>
          <t>OP10</t>
        </is>
      </c>
      <c r="F11" s="4" t="inlineStr">
        <is>
          <t>保护焊</t>
        </is>
      </c>
      <c r="G11" s="4" t="inlineStr">
        <is>
          <t>焊接</t>
        </is>
      </c>
      <c r="H11" s="4" t="inlineStr">
        <is>
          <t>WC-WELD</t>
        </is>
      </c>
      <c r="I11" s="5" t="n">
        <v>10</v>
      </c>
      <c r="J11" s="5" t="n">
        <v>12</v>
      </c>
    </row>
    <row r="12">
      <c r="A12" s="4" t="inlineStr">
        <is>
          <t>PBOM-7196B1000001</t>
        </is>
      </c>
      <c r="B12" s="4" t="inlineStr">
        <is>
          <t>N011</t>
        </is>
      </c>
      <c r="C12" s="4" t="inlineStr">
        <is>
          <t>41196B000002</t>
        </is>
      </c>
      <c r="D12" s="4" t="inlineStr">
        <is>
          <t>N011-OP010</t>
        </is>
      </c>
      <c r="E12" s="4" t="inlineStr">
        <is>
          <t>OP10</t>
        </is>
      </c>
      <c r="F12" s="4" t="inlineStr">
        <is>
          <t>落料</t>
        </is>
      </c>
      <c r="G12" s="4" t="inlineStr">
        <is>
          <t>冲压</t>
        </is>
      </c>
      <c r="H12" s="4" t="inlineStr">
        <is>
          <t>WC-STAMP</t>
        </is>
      </c>
      <c r="I12" s="5" t="n">
        <v>10</v>
      </c>
      <c r="J12" s="5" t="n">
        <v>13</v>
      </c>
    </row>
    <row r="13">
      <c r="A13" s="4" t="inlineStr">
        <is>
          <t>PBOM-7196B1000001</t>
        </is>
      </c>
      <c r="B13" s="4" t="inlineStr">
        <is>
          <t>N011</t>
        </is>
      </c>
      <c r="C13" s="4" t="inlineStr">
        <is>
          <t>41196B000002</t>
        </is>
      </c>
      <c r="D13" s="4" t="inlineStr">
        <is>
          <t>N011-OP020</t>
        </is>
      </c>
      <c r="E13" s="4" t="inlineStr">
        <is>
          <t>OP20</t>
        </is>
      </c>
      <c r="F13" s="4" t="inlineStr">
        <is>
          <t>成型</t>
        </is>
      </c>
      <c r="G13" s="4" t="inlineStr">
        <is>
          <t>冲压</t>
        </is>
      </c>
      <c r="H13" s="4" t="inlineStr">
        <is>
          <t>WC-STAMP</t>
        </is>
      </c>
      <c r="I13" s="5" t="n">
        <v>20</v>
      </c>
      <c r="J13" s="5" t="n">
        <v>14</v>
      </c>
    </row>
    <row r="14">
      <c r="A14" s="4" t="inlineStr">
        <is>
          <t>PBOM-7196B1000001</t>
        </is>
      </c>
      <c r="B14" s="4" t="inlineStr">
        <is>
          <t>N011</t>
        </is>
      </c>
      <c r="C14" s="4" t="inlineStr">
        <is>
          <t>41196B000002</t>
        </is>
      </c>
      <c r="D14" s="4" t="inlineStr">
        <is>
          <t>N011-OP030</t>
        </is>
      </c>
      <c r="E14" s="4" t="inlineStr">
        <is>
          <t>OP30</t>
        </is>
      </c>
      <c r="F14" s="4" t="inlineStr">
        <is>
          <t>翻边</t>
        </is>
      </c>
      <c r="G14" s="4" t="inlineStr">
        <is>
          <t>冲压</t>
        </is>
      </c>
      <c r="H14" s="4" t="inlineStr">
        <is>
          <t>WC-STAMP</t>
        </is>
      </c>
      <c r="I14" s="5" t="n">
        <v>30</v>
      </c>
      <c r="J14" s="5" t="n">
        <v>15</v>
      </c>
    </row>
    <row r="15">
      <c r="A15" s="4" t="inlineStr">
        <is>
          <t>PBOM-7196B1000001</t>
        </is>
      </c>
      <c r="B15" s="4" t="inlineStr">
        <is>
          <t>N011</t>
        </is>
      </c>
      <c r="C15" s="4" t="inlineStr">
        <is>
          <t>41196B000002</t>
        </is>
      </c>
      <c r="D15" s="4" t="inlineStr">
        <is>
          <t>N011-OP040</t>
        </is>
      </c>
      <c r="E15" s="4" t="inlineStr">
        <is>
          <t>OP40</t>
        </is>
      </c>
      <c r="F15" s="4" t="inlineStr">
        <is>
          <t>冲孔</t>
        </is>
      </c>
      <c r="G15" s="4" t="inlineStr">
        <is>
          <t>冲压</t>
        </is>
      </c>
      <c r="H15" s="4" t="inlineStr">
        <is>
          <t>WC-STAMP</t>
        </is>
      </c>
      <c r="I15" s="5" t="n">
        <v>40</v>
      </c>
      <c r="J15" s="5" t="n">
        <v>16</v>
      </c>
    </row>
    <row r="16">
      <c r="A16" s="4" t="inlineStr">
        <is>
          <t>PBOM-7196B1000001</t>
        </is>
      </c>
      <c r="B16" s="4" t="inlineStr">
        <is>
          <t>N012</t>
        </is>
      </c>
      <c r="C16" s="4" t="inlineStr">
        <is>
          <t>41196B000003</t>
        </is>
      </c>
      <c r="D16" s="4" t="inlineStr">
        <is>
          <t>N012-OP010</t>
        </is>
      </c>
      <c r="E16" s="4" t="inlineStr">
        <is>
          <t>OP10</t>
        </is>
      </c>
      <c r="F16" s="4" t="inlineStr">
        <is>
          <t>落料</t>
        </is>
      </c>
      <c r="G16" s="4" t="inlineStr">
        <is>
          <t>冲压</t>
        </is>
      </c>
      <c r="H16" s="4" t="inlineStr">
        <is>
          <t>WC-STAMP</t>
        </is>
      </c>
      <c r="I16" s="5" t="n">
        <v>10</v>
      </c>
      <c r="J16" s="5" t="n">
        <v>18</v>
      </c>
    </row>
    <row r="17">
      <c r="A17" s="4" t="inlineStr">
        <is>
          <t>PBOM-7196B1000001</t>
        </is>
      </c>
      <c r="B17" s="4" t="inlineStr">
        <is>
          <t>N012</t>
        </is>
      </c>
      <c r="C17" s="4" t="inlineStr">
        <is>
          <t>41196B000003</t>
        </is>
      </c>
      <c r="D17" s="4" t="inlineStr">
        <is>
          <t>N012-OP020</t>
        </is>
      </c>
      <c r="E17" s="4" t="inlineStr">
        <is>
          <t>OP20</t>
        </is>
      </c>
      <c r="F17" s="4" t="inlineStr">
        <is>
          <t>成型</t>
        </is>
      </c>
      <c r="G17" s="4" t="inlineStr">
        <is>
          <t>冲压</t>
        </is>
      </c>
      <c r="H17" s="4" t="inlineStr">
        <is>
          <t>WC-STAMP</t>
        </is>
      </c>
      <c r="I17" s="5" t="n">
        <v>20</v>
      </c>
      <c r="J17" s="5" t="n">
        <v>19</v>
      </c>
    </row>
    <row r="18">
      <c r="A18" s="4" t="inlineStr">
        <is>
          <t>PBOM-7196B1000001</t>
        </is>
      </c>
      <c r="B18" s="4" t="inlineStr">
        <is>
          <t>N012</t>
        </is>
      </c>
      <c r="C18" s="4" t="inlineStr">
        <is>
          <t>41196B000003</t>
        </is>
      </c>
      <c r="D18" s="4" t="inlineStr">
        <is>
          <t>N012-OP030</t>
        </is>
      </c>
      <c r="E18" s="4" t="inlineStr">
        <is>
          <t>OP30</t>
        </is>
      </c>
      <c r="F18" s="4" t="inlineStr">
        <is>
          <t>翻边</t>
        </is>
      </c>
      <c r="G18" s="4" t="inlineStr">
        <is>
          <t>冲压</t>
        </is>
      </c>
      <c r="H18" s="4" t="inlineStr">
        <is>
          <t>WC-STAMP</t>
        </is>
      </c>
      <c r="I18" s="5" t="n">
        <v>30</v>
      </c>
      <c r="J18" s="5" t="n">
        <v>20</v>
      </c>
    </row>
    <row r="19">
      <c r="A19" s="4" t="inlineStr">
        <is>
          <t>PBOM-7196B1000001</t>
        </is>
      </c>
      <c r="B19" s="4" t="inlineStr">
        <is>
          <t>N012</t>
        </is>
      </c>
      <c r="C19" s="4" t="inlineStr">
        <is>
          <t>41196B000003</t>
        </is>
      </c>
      <c r="D19" s="4" t="inlineStr">
        <is>
          <t>N012-OP040</t>
        </is>
      </c>
      <c r="E19" s="4" t="inlineStr">
        <is>
          <t>OP40</t>
        </is>
      </c>
      <c r="F19" s="4" t="inlineStr">
        <is>
          <t>冲孔</t>
        </is>
      </c>
      <c r="G19" s="4" t="inlineStr">
        <is>
          <t>冲压</t>
        </is>
      </c>
      <c r="H19" s="4" t="inlineStr">
        <is>
          <t>WC-STAMP</t>
        </is>
      </c>
      <c r="I19" s="5" t="n">
        <v>40</v>
      </c>
      <c r="J19" s="5" t="n">
        <v>21</v>
      </c>
    </row>
    <row r="20">
      <c r="A20" s="4" t="inlineStr">
        <is>
          <t>PBOM-7196B1000001</t>
        </is>
      </c>
      <c r="B20" s="4" t="inlineStr">
        <is>
          <t>N013</t>
        </is>
      </c>
      <c r="C20" s="4" t="inlineStr">
        <is>
          <t>41196B000001</t>
        </is>
      </c>
      <c r="D20" s="4" t="inlineStr">
        <is>
          <t>N013-OP010</t>
        </is>
      </c>
      <c r="E20" s="4" t="inlineStr">
        <is>
          <t>OP10</t>
        </is>
      </c>
      <c r="F20" s="4" t="inlineStr">
        <is>
          <t>落料成型</t>
        </is>
      </c>
      <c r="G20" s="4" t="inlineStr">
        <is>
          <t>冲压</t>
        </is>
      </c>
      <c r="H20" s="4" t="inlineStr">
        <is>
          <t>WC-STAMP</t>
        </is>
      </c>
      <c r="I20" s="5" t="n">
        <v>10</v>
      </c>
      <c r="J20" s="5" t="n">
        <v>24</v>
      </c>
    </row>
    <row r="21">
      <c r="A21" s="4" t="inlineStr">
        <is>
          <t>PBOM-7196B1000001</t>
        </is>
      </c>
      <c r="B21" s="4" t="inlineStr">
        <is>
          <t>N014</t>
        </is>
      </c>
      <c r="C21" s="4" t="inlineStr"/>
      <c r="D21" s="4" t="inlineStr">
        <is>
          <t>N014-OP010</t>
        </is>
      </c>
      <c r="E21" s="4" t="inlineStr">
        <is>
          <t>OP10</t>
        </is>
      </c>
      <c r="F21" s="4" t="inlineStr">
        <is>
          <t>保护焊</t>
        </is>
      </c>
      <c r="G21" s="4" t="inlineStr">
        <is>
          <t>焊接</t>
        </is>
      </c>
      <c r="H21" s="4" t="inlineStr">
        <is>
          <t>WC-WELD</t>
        </is>
      </c>
      <c r="I21" s="5" t="n">
        <v>10</v>
      </c>
      <c r="J21" s="5" t="n">
        <v>26</v>
      </c>
    </row>
    <row r="22">
      <c r="A22" s="4" t="inlineStr">
        <is>
          <t>PBOM-7196B1000001</t>
        </is>
      </c>
      <c r="B22" s="4" t="inlineStr">
        <is>
          <t>N015</t>
        </is>
      </c>
      <c r="C22" s="4" t="inlineStr">
        <is>
          <t>41101B000112</t>
        </is>
      </c>
      <c r="D22" s="4" t="inlineStr">
        <is>
          <t>N015-OP010</t>
        </is>
      </c>
      <c r="E22" s="4" t="inlineStr">
        <is>
          <t>OP10</t>
        </is>
      </c>
      <c r="F22" s="4" t="inlineStr">
        <is>
          <t>连续冲压</t>
        </is>
      </c>
      <c r="G22" s="4" t="inlineStr">
        <is>
          <t>冲压</t>
        </is>
      </c>
      <c r="H22" s="4" t="inlineStr">
        <is>
          <t>WC-STAMP</t>
        </is>
      </c>
      <c r="I22" s="5" t="n">
        <v>10</v>
      </c>
      <c r="J22" s="5" t="n">
        <v>27</v>
      </c>
    </row>
    <row r="23">
      <c r="A23" s="4" t="inlineStr">
        <is>
          <t>PBOM-7196B1000001</t>
        </is>
      </c>
      <c r="B23" s="4" t="inlineStr">
        <is>
          <t>N016</t>
        </is>
      </c>
      <c r="C23" s="4" t="inlineStr">
        <is>
          <t>4910102070000901</t>
        </is>
      </c>
      <c r="D23" s="4" t="inlineStr">
        <is>
          <t>N016-OP010</t>
        </is>
      </c>
      <c r="E23" s="4" t="inlineStr">
        <is>
          <t>OP10</t>
        </is>
      </c>
      <c r="F23" s="4" t="inlineStr">
        <is>
          <t>/</t>
        </is>
      </c>
      <c r="G23" s="4" t="inlineStr">
        <is>
          <t>/</t>
        </is>
      </c>
      <c r="H23" s="4" t="inlineStr">
        <is>
          <t>WC-MISC</t>
        </is>
      </c>
      <c r="I23" s="5" t="n">
        <v>10</v>
      </c>
      <c r="J23" s="5" t="n">
        <v>30</v>
      </c>
    </row>
    <row r="24">
      <c r="A24" s="4" t="inlineStr">
        <is>
          <t>PBOM-7196B1000001</t>
        </is>
      </c>
      <c r="B24" s="4" t="inlineStr">
        <is>
          <t>N017</t>
        </is>
      </c>
      <c r="C24" s="4" t="inlineStr">
        <is>
          <t>4910102070001601</t>
        </is>
      </c>
      <c r="D24" s="4" t="inlineStr">
        <is>
          <t>N017-OP010</t>
        </is>
      </c>
      <c r="E24" s="4" t="inlineStr">
        <is>
          <t>OP10</t>
        </is>
      </c>
      <c r="F24" s="4" t="inlineStr">
        <is>
          <t>/</t>
        </is>
      </c>
      <c r="G24" s="4" t="inlineStr">
        <is>
          <t>/</t>
        </is>
      </c>
      <c r="H24" s="4" t="inlineStr">
        <is>
          <t>WC-MISC</t>
        </is>
      </c>
      <c r="I24" s="5" t="n">
        <v>10</v>
      </c>
      <c r="J24" s="5" t="n">
        <v>32</v>
      </c>
    </row>
    <row r="25">
      <c r="A25" s="4" t="inlineStr">
        <is>
          <t>PBOM-7196B1000001</t>
        </is>
      </c>
      <c r="B25" s="4" t="inlineStr">
        <is>
          <t>N018</t>
        </is>
      </c>
      <c r="C25" s="4" t="inlineStr">
        <is>
          <t>503114470001</t>
        </is>
      </c>
      <c r="D25" s="4" t="inlineStr">
        <is>
          <t>N018-OP010</t>
        </is>
      </c>
      <c r="E25" s="4" t="inlineStr">
        <is>
          <t>OP10</t>
        </is>
      </c>
      <c r="F25" s="4" t="inlineStr">
        <is>
          <t>/</t>
        </is>
      </c>
      <c r="G25" s="4" t="inlineStr">
        <is>
          <t>/</t>
        </is>
      </c>
      <c r="H25" s="4" t="inlineStr">
        <is>
          <t>WC-MISC</t>
        </is>
      </c>
      <c r="I25" s="5" t="n">
        <v>10</v>
      </c>
      <c r="J25" s="5" t="n">
        <v>33</v>
      </c>
    </row>
    <row r="26">
      <c r="A26" s="4" t="inlineStr">
        <is>
          <t>PBOM-7196B1000001</t>
        </is>
      </c>
      <c r="B26" s="4" t="inlineStr">
        <is>
          <t>N019</t>
        </is>
      </c>
      <c r="C26" s="4" t="inlineStr">
        <is>
          <t>4910102140001301</t>
        </is>
      </c>
      <c r="D26" s="4" t="inlineStr">
        <is>
          <t>N019-OP010</t>
        </is>
      </c>
      <c r="E26" s="4" t="inlineStr">
        <is>
          <t>OP10</t>
        </is>
      </c>
      <c r="F26" s="4" t="inlineStr">
        <is>
          <t>/</t>
        </is>
      </c>
      <c r="G26" s="4" t="inlineStr">
        <is>
          <t>/</t>
        </is>
      </c>
      <c r="H26" s="4" t="inlineStr">
        <is>
          <t>WC-MISC</t>
        </is>
      </c>
      <c r="I26" s="5" t="n">
        <v>10</v>
      </c>
      <c r="J26" s="5" t="n">
        <v>34</v>
      </c>
    </row>
    <row r="27">
      <c r="A27" s="4" t="inlineStr">
        <is>
          <t>PBOM-7196B1000001</t>
        </is>
      </c>
      <c r="B27" s="4" t="inlineStr">
        <is>
          <t>N020</t>
        </is>
      </c>
      <c r="C27" s="4" t="inlineStr">
        <is>
          <t>504612220002</t>
        </is>
      </c>
      <c r="D27" s="4" t="inlineStr">
        <is>
          <t>N020-OP010</t>
        </is>
      </c>
      <c r="E27" s="4" t="inlineStr">
        <is>
          <t>OP10</t>
        </is>
      </c>
      <c r="F27" s="4" t="inlineStr">
        <is>
          <t>/</t>
        </is>
      </c>
      <c r="G27" s="4" t="inlineStr">
        <is>
          <t>/</t>
        </is>
      </c>
      <c r="H27" s="4" t="inlineStr">
        <is>
          <t>WC-MISC</t>
        </is>
      </c>
      <c r="I27" s="5" t="n">
        <v>10</v>
      </c>
      <c r="J27" s="5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4" customWidth="1" min="4" max="4"/>
    <col width="16" customWidth="1" min="5" max="5"/>
    <col width="8" customWidth="1" min="6" max="6"/>
    <col width="16" customWidth="1" min="7" max="7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原料编码</t>
        </is>
      </c>
      <c r="E1" s="3" t="inlineStr">
        <is>
          <t>原料材质</t>
        </is>
      </c>
      <c r="F1" s="3" t="inlineStr">
        <is>
          <t>关系</t>
        </is>
      </c>
      <c r="G1" s="3" t="inlineStr">
        <is>
          <t>用量(单件毛重kg)</t>
        </is>
      </c>
      <c r="H1" s="3" t="inlineStr">
        <is>
          <t>单位</t>
        </is>
      </c>
      <c r="I1" s="3" t="inlineStr">
        <is>
          <t>损耗率</t>
        </is>
      </c>
      <c r="J1" s="3" t="inlineStr">
        <is>
          <t>原料尺寸长mm</t>
        </is>
      </c>
      <c r="K1" s="3" t="inlineStr">
        <is>
          <t>原料尺寸宽mm</t>
        </is>
      </c>
      <c r="L1" s="3" t="inlineStr">
        <is>
          <t>原料厚度mm</t>
        </is>
      </c>
      <c r="M1" s="3" t="inlineStr">
        <is>
          <t>料片出件数</t>
        </is>
      </c>
      <c r="N1" s="3" t="inlineStr">
        <is>
          <t>材料密度g/cm3</t>
        </is>
      </c>
      <c r="O1" s="3" t="inlineStr">
        <is>
          <t>备注</t>
        </is>
      </c>
    </row>
    <row r="2">
      <c r="A2" s="4" t="inlineStr">
        <is>
          <t>N002-OP010</t>
        </is>
      </c>
      <c r="B2" s="4" t="inlineStr">
        <is>
          <t>N002</t>
        </is>
      </c>
      <c r="C2" s="4" t="inlineStr">
        <is>
          <t>69F196B00002</t>
        </is>
      </c>
      <c r="D2" s="4" t="inlineStr">
        <is>
          <t>RM-PP+GF40(P708BK)</t>
        </is>
      </c>
      <c r="E2" s="4" t="inlineStr">
        <is>
          <t>PP+GF40(P708BK)</t>
        </is>
      </c>
      <c r="F2" s="4" t="inlineStr">
        <is>
          <t>投入</t>
        </is>
      </c>
      <c r="G2" s="5" t="n">
        <v>0.324</v>
      </c>
      <c r="H2" s="4" t="inlineStr">
        <is>
          <t>KG</t>
        </is>
      </c>
      <c r="I2" s="4" t="inlineStr">
        <is>
          <t>8%</t>
        </is>
      </c>
      <c r="J2" s="4" t="n"/>
      <c r="K2" s="4" t="n"/>
      <c r="L2" s="4" t="n"/>
      <c r="M2" s="4" t="n"/>
      <c r="N2" s="4" t="n"/>
      <c r="O2" s="4" t="inlineStr"/>
    </row>
    <row r="3">
      <c r="A3" s="4" t="inlineStr">
        <is>
          <t>N002-OP010</t>
        </is>
      </c>
      <c r="B3" s="4" t="inlineStr">
        <is>
          <t>N002</t>
        </is>
      </c>
      <c r="C3" s="4" t="inlineStr">
        <is>
          <t>69F196B00002</t>
        </is>
      </c>
      <c r="D3" s="4" t="inlineStr">
        <is>
          <t>69F196B00002</t>
        </is>
      </c>
      <c r="E3" s="4" t="inlineStr">
        <is>
          <t>主支架</t>
        </is>
      </c>
      <c r="F3" s="4" t="inlineStr">
        <is>
          <t>产出</t>
        </is>
      </c>
      <c r="G3" s="5" t="n">
        <v>0.324</v>
      </c>
      <c r="H3" s="4" t="inlineStr">
        <is>
          <t>EA</t>
        </is>
      </c>
      <c r="I3" s="4" t="inlineStr"/>
      <c r="J3" s="4" t="n"/>
      <c r="K3" s="4" t="n"/>
      <c r="L3" s="4" t="n"/>
      <c r="M3" s="4" t="n"/>
      <c r="N3" s="4" t="n"/>
      <c r="O3" s="4" t="inlineStr">
        <is>
          <t>单件净重</t>
        </is>
      </c>
    </row>
    <row r="4">
      <c r="A4" s="4" t="inlineStr">
        <is>
          <t>N006-OP010</t>
        </is>
      </c>
      <c r="B4" s="4" t="inlineStr">
        <is>
          <t>N006</t>
        </is>
      </c>
      <c r="C4" s="4" t="inlineStr">
        <is>
          <t>69F196B00003</t>
        </is>
      </c>
      <c r="D4" s="4" t="inlineStr">
        <is>
          <t>RM-PVC_A165162
(星钻黑）</t>
        </is>
      </c>
      <c r="E4" s="4" t="inlineStr">
        <is>
          <t>PVC A165162
(星钻黑）</t>
        </is>
      </c>
      <c r="F4" s="4" t="inlineStr">
        <is>
          <t>投入</t>
        </is>
      </c>
      <c r="G4" s="5" t="n">
        <v>0.056</v>
      </c>
      <c r="H4" s="4" t="inlineStr">
        <is>
          <t>KG</t>
        </is>
      </c>
      <c r="I4" s="4" t="inlineStr">
        <is>
          <t>8%</t>
        </is>
      </c>
      <c r="J4" s="4" t="n"/>
      <c r="K4" s="4" t="n"/>
      <c r="L4" s="4" t="n"/>
      <c r="M4" s="4" t="n"/>
      <c r="N4" s="4" t="n"/>
      <c r="O4" s="4" t="inlineStr"/>
    </row>
    <row r="5">
      <c r="A5" s="4" t="inlineStr">
        <is>
          <t>N006-OP010</t>
        </is>
      </c>
      <c r="B5" s="4" t="inlineStr">
        <is>
          <t>N006</t>
        </is>
      </c>
      <c r="C5" s="4" t="inlineStr">
        <is>
          <t>69F196B00003</t>
        </is>
      </c>
      <c r="D5" s="4" t="inlineStr">
        <is>
          <t>69F196B00003</t>
        </is>
      </c>
      <c r="E5" s="4" t="inlineStr">
        <is>
          <t>踏板罩</t>
        </is>
      </c>
      <c r="F5" s="4" t="inlineStr">
        <is>
          <t>产出</t>
        </is>
      </c>
      <c r="G5" s="5" t="n">
        <v>0.056</v>
      </c>
      <c r="H5" s="4" t="inlineStr">
        <is>
          <t>EA</t>
        </is>
      </c>
      <c r="I5" s="4" t="inlineStr"/>
      <c r="J5" s="4" t="n"/>
      <c r="K5" s="4" t="n"/>
      <c r="L5" s="4" t="n"/>
      <c r="M5" s="4" t="n"/>
      <c r="N5" s="4" t="n"/>
      <c r="O5" s="4" t="inlineStr">
        <is>
          <t>单件净重</t>
        </is>
      </c>
    </row>
    <row r="6">
      <c r="A6" s="4" t="inlineStr">
        <is>
          <t>N007-OP010</t>
        </is>
      </c>
      <c r="B6" s="4" t="inlineStr">
        <is>
          <t>N007</t>
        </is>
      </c>
      <c r="C6" s="4" t="inlineStr">
        <is>
          <t>604400000004</t>
        </is>
      </c>
      <c r="D6" s="4" t="inlineStr">
        <is>
          <t>RM-POM_M25-44
Q-MAM_4106</t>
        </is>
      </c>
      <c r="E6" s="4" t="inlineStr">
        <is>
          <t>POM M25-44
Q/MAM 4106</t>
        </is>
      </c>
      <c r="F6" s="4" t="inlineStr">
        <is>
          <t>投入</t>
        </is>
      </c>
      <c r="G6" s="5" t="n">
        <v>0.01</v>
      </c>
      <c r="H6" s="4" t="inlineStr">
        <is>
          <t>KG</t>
        </is>
      </c>
      <c r="I6" s="4" t="inlineStr">
        <is>
          <t>8%</t>
        </is>
      </c>
      <c r="J6" s="4" t="n"/>
      <c r="K6" s="4" t="n"/>
      <c r="L6" s="4" t="n"/>
      <c r="M6" s="4" t="n"/>
      <c r="N6" s="4" t="n"/>
      <c r="O6" s="4" t="inlineStr"/>
    </row>
    <row r="7">
      <c r="A7" s="4" t="inlineStr">
        <is>
          <t>N007-OP010</t>
        </is>
      </c>
      <c r="B7" s="4" t="inlineStr">
        <is>
          <t>N007</t>
        </is>
      </c>
      <c r="C7" s="4" t="inlineStr">
        <is>
          <t>604400000004</t>
        </is>
      </c>
      <c r="D7" s="4" t="inlineStr">
        <is>
          <t>604400000004</t>
        </is>
      </c>
      <c r="E7" s="4" t="inlineStr">
        <is>
          <t>球窝支架</t>
        </is>
      </c>
      <c r="F7" s="4" t="inlineStr">
        <is>
          <t>产出</t>
        </is>
      </c>
      <c r="G7" s="5" t="n">
        <v>0.01</v>
      </c>
      <c r="H7" s="4" t="inlineStr">
        <is>
          <t>EA</t>
        </is>
      </c>
      <c r="I7" s="4" t="inlineStr"/>
      <c r="J7" s="4" t="n"/>
      <c r="K7" s="4" t="n"/>
      <c r="L7" s="4" t="n"/>
      <c r="M7" s="4" t="n"/>
      <c r="N7" s="4" t="n"/>
      <c r="O7" s="4" t="inlineStr">
        <is>
          <t>单件净重</t>
        </is>
      </c>
    </row>
    <row r="8">
      <c r="A8" s="4" t="inlineStr">
        <is>
          <t>N011-OP010</t>
        </is>
      </c>
      <c r="B8" s="4" t="inlineStr">
        <is>
          <t>N011</t>
        </is>
      </c>
      <c r="C8" s="4" t="inlineStr">
        <is>
          <t>41196B000002</t>
        </is>
      </c>
      <c r="D8" s="4" t="inlineStr">
        <is>
          <t>RM-HC420-780DP</t>
        </is>
      </c>
      <c r="E8" s="4" t="inlineStr">
        <is>
          <t>HC420/780DP</t>
        </is>
      </c>
      <c r="F8" s="4" t="inlineStr">
        <is>
          <t>投入</t>
        </is>
      </c>
      <c r="G8" s="5" t="n">
        <v>0.199</v>
      </c>
      <c r="H8" s="4" t="inlineStr">
        <is>
          <t>KG</t>
        </is>
      </c>
      <c r="I8" s="4" t="inlineStr">
        <is>
          <t>8%</t>
        </is>
      </c>
      <c r="J8" s="5" t="n">
        <v>1180</v>
      </c>
      <c r="K8" s="5" t="n">
        <v>350</v>
      </c>
      <c r="L8" s="5" t="n">
        <v>1.5</v>
      </c>
      <c r="M8" s="5" t="n">
        <v>14</v>
      </c>
      <c r="N8" s="5" t="n">
        <v>7.85</v>
      </c>
      <c r="O8" s="4" t="inlineStr"/>
    </row>
    <row r="9">
      <c r="A9" s="4" t="inlineStr">
        <is>
          <t>N011-OP010</t>
        </is>
      </c>
      <c r="B9" s="4" t="inlineStr">
        <is>
          <t>N011</t>
        </is>
      </c>
      <c r="C9" s="4" t="inlineStr">
        <is>
          <t>41196B000002</t>
        </is>
      </c>
      <c r="D9" s="4" t="inlineStr">
        <is>
          <t>41196B000002</t>
        </is>
      </c>
      <c r="E9" s="4" t="inlineStr">
        <is>
          <t>空心踏板臂-左</t>
        </is>
      </c>
      <c r="F9" s="4" t="inlineStr">
        <is>
          <t>产出</t>
        </is>
      </c>
      <c r="G9" s="5" t="n">
        <v>0.199</v>
      </c>
      <c r="H9" s="4" t="inlineStr">
        <is>
          <t>EA</t>
        </is>
      </c>
      <c r="I9" s="4" t="inlineStr"/>
      <c r="J9" s="4" t="n"/>
      <c r="K9" s="4" t="n"/>
      <c r="L9" s="4" t="n"/>
      <c r="M9" s="4" t="n"/>
      <c r="N9" s="4" t="n"/>
      <c r="O9" s="4" t="inlineStr">
        <is>
          <t>单件净重</t>
        </is>
      </c>
    </row>
    <row r="10">
      <c r="A10" s="4" t="inlineStr">
        <is>
          <t>N013-OP010</t>
        </is>
      </c>
      <c r="B10" s="4" t="inlineStr">
        <is>
          <t>N013</t>
        </is>
      </c>
      <c r="C10" s="4" t="inlineStr">
        <is>
          <t>41196B000001</t>
        </is>
      </c>
      <c r="D10" s="4" t="inlineStr">
        <is>
          <t>RM-SAPH440</t>
        </is>
      </c>
      <c r="E10" s="4" t="inlineStr">
        <is>
          <t>SAPH440</t>
        </is>
      </c>
      <c r="F10" s="4" t="inlineStr">
        <is>
          <t>投入</t>
        </is>
      </c>
      <c r="G10" s="5" t="n">
        <v>0.214</v>
      </c>
      <c r="H10" s="4" t="inlineStr">
        <is>
          <t>KG</t>
        </is>
      </c>
      <c r="I10" s="4" t="inlineStr">
        <is>
          <t>8%</t>
        </is>
      </c>
      <c r="J10" s="5" t="n">
        <v>1250</v>
      </c>
      <c r="K10" s="5" t="n">
        <v>112</v>
      </c>
      <c r="L10" s="5" t="n">
        <v>5</v>
      </c>
      <c r="M10" s="5" t="n">
        <v>19</v>
      </c>
      <c r="N10" s="5" t="n">
        <v>7.85</v>
      </c>
      <c r="O10" s="4" t="inlineStr"/>
    </row>
    <row r="11">
      <c r="A11" s="4" t="inlineStr">
        <is>
          <t>N013-OP010</t>
        </is>
      </c>
      <c r="B11" s="4" t="inlineStr">
        <is>
          <t>N013</t>
        </is>
      </c>
      <c r="C11" s="4" t="inlineStr">
        <is>
          <t>41196B000001</t>
        </is>
      </c>
      <c r="D11" s="4" t="inlineStr">
        <is>
          <t>41196B000001</t>
        </is>
      </c>
      <c r="E11" s="4" t="inlineStr">
        <is>
          <t>踏板片</t>
        </is>
      </c>
      <c r="F11" s="4" t="inlineStr">
        <is>
          <t>产出</t>
        </is>
      </c>
      <c r="G11" s="5" t="n">
        <v>0.214</v>
      </c>
      <c r="H11" s="4" t="inlineStr">
        <is>
          <t>EA</t>
        </is>
      </c>
      <c r="I11" s="4" t="inlineStr"/>
      <c r="J11" s="4" t="n"/>
      <c r="K11" s="4" t="n"/>
      <c r="L11" s="4" t="n"/>
      <c r="M11" s="4" t="n"/>
      <c r="N11" s="4" t="n"/>
      <c r="O11" s="4" t="inlineStr">
        <is>
          <t>单件净重</t>
        </is>
      </c>
    </row>
    <row r="12">
      <c r="A12" s="4" t="inlineStr">
        <is>
          <t>N015-OP010</t>
        </is>
      </c>
      <c r="B12" s="4" t="inlineStr">
        <is>
          <t>N015</t>
        </is>
      </c>
      <c r="C12" s="4" t="inlineStr">
        <is>
          <t>41101B000112</t>
        </is>
      </c>
      <c r="D12" s="4" t="inlineStr">
        <is>
          <t>RM-SAPH440</t>
        </is>
      </c>
      <c r="E12" s="4" t="inlineStr">
        <is>
          <t>SAPH440</t>
        </is>
      </c>
      <c r="F12" s="4" t="inlineStr">
        <is>
          <t>投入</t>
        </is>
      </c>
      <c r="G12" s="5" t="n">
        <v>0.068</v>
      </c>
      <c r="H12" s="4" t="inlineStr">
        <is>
          <t>KG</t>
        </is>
      </c>
      <c r="I12" s="4" t="inlineStr">
        <is>
          <t>8%</t>
        </is>
      </c>
      <c r="J12" s="4" t="n"/>
      <c r="K12" s="5" t="n">
        <v>100</v>
      </c>
      <c r="L12" s="5" t="n">
        <v>2.5</v>
      </c>
      <c r="M12" s="4" t="n"/>
      <c r="N12" s="5" t="n">
        <v>7.85</v>
      </c>
      <c r="O12" s="4" t="inlineStr"/>
    </row>
    <row r="13">
      <c r="A13" s="4" t="inlineStr">
        <is>
          <t>N015-OP010</t>
        </is>
      </c>
      <c r="B13" s="4" t="inlineStr">
        <is>
          <t>N015</t>
        </is>
      </c>
      <c r="C13" s="4" t="inlineStr">
        <is>
          <t>41101B000112</t>
        </is>
      </c>
      <c r="D13" s="4" t="inlineStr">
        <is>
          <t>41101B000112</t>
        </is>
      </c>
      <c r="E13" s="4" t="inlineStr">
        <is>
          <t>球窝罩壳</t>
        </is>
      </c>
      <c r="F13" s="4" t="inlineStr">
        <is>
          <t>产出</t>
        </is>
      </c>
      <c r="G13" s="5" t="n">
        <v>0.068</v>
      </c>
      <c r="H13" s="4" t="inlineStr">
        <is>
          <t>EA</t>
        </is>
      </c>
      <c r="I13" s="4" t="inlineStr"/>
      <c r="J13" s="4" t="n"/>
      <c r="K13" s="4" t="n"/>
      <c r="L13" s="4" t="n"/>
      <c r="M13" s="4" t="n"/>
      <c r="N13" s="4" t="n"/>
      <c r="O13" s="4" t="inlineStr">
        <is>
          <t>单件净重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6" customWidth="1" min="6" max="6"/>
    <col width="10" customWidth="1" min="7" max="7"/>
    <col width="18" customWidth="1" min="8" max="8"/>
    <col width="14" customWidth="1" min="9" max="9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资源类型</t>
        </is>
      </c>
      <c r="D1" s="3" t="inlineStr">
        <is>
          <t>资源编码</t>
        </is>
      </c>
      <c r="E1" s="3" t="inlineStr">
        <is>
          <t>资源名称</t>
        </is>
      </c>
      <c r="F1" s="3" t="inlineStr">
        <is>
          <t>数量</t>
        </is>
      </c>
      <c r="G1" s="3" t="inlineStr">
        <is>
          <t>主资源</t>
        </is>
      </c>
      <c r="H1" s="3" t="inlineStr">
        <is>
          <t>模具编码（自动补）</t>
        </is>
      </c>
      <c r="I1" s="3" t="inlineStr">
        <is>
          <t>模具名称（自动补）</t>
        </is>
      </c>
    </row>
    <row r="2">
      <c r="A2" s="4" t="inlineStr">
        <is>
          <t>N001-OP010</t>
        </is>
      </c>
      <c r="B2" s="4" t="inlineStr">
        <is>
          <t>N001</t>
        </is>
      </c>
      <c r="C2" s="4" t="inlineStr">
        <is>
          <t>设备</t>
        </is>
      </c>
      <c r="D2" s="4" t="inlineStr">
        <is>
          <t>EQ-001</t>
        </is>
      </c>
      <c r="E2" s="4" t="inlineStr">
        <is>
          <t>组装生产线</t>
        </is>
      </c>
      <c r="F2" s="5" t="n">
        <v>1</v>
      </c>
      <c r="G2" s="4" t="inlineStr">
        <is>
          <t>是</t>
        </is>
      </c>
      <c r="H2" s="4" t="inlineStr"/>
      <c r="I2" s="4" t="inlineStr"/>
    </row>
    <row r="3">
      <c r="A3" s="4" t="inlineStr">
        <is>
          <t>N002-OP010</t>
        </is>
      </c>
      <c r="B3" s="4" t="inlineStr">
        <is>
          <t>N002</t>
        </is>
      </c>
      <c r="C3" s="4" t="inlineStr">
        <is>
          <t>设备</t>
        </is>
      </c>
      <c r="D3" s="4" t="inlineStr">
        <is>
          <t>EQ-002</t>
        </is>
      </c>
      <c r="E3" s="4" t="inlineStr">
        <is>
          <t>MA3800Ⅲ</t>
        </is>
      </c>
      <c r="F3" s="5" t="n">
        <v>1</v>
      </c>
      <c r="G3" s="4" t="inlineStr">
        <is>
          <t>是</t>
        </is>
      </c>
      <c r="H3" s="4" t="inlineStr"/>
      <c r="I3" s="4" t="inlineStr"/>
    </row>
    <row r="4">
      <c r="A4" s="4" t="inlineStr">
        <is>
          <t>N006-OP010</t>
        </is>
      </c>
      <c r="B4" s="4" t="inlineStr">
        <is>
          <t>N006</t>
        </is>
      </c>
      <c r="C4" s="4" t="inlineStr">
        <is>
          <t>设备</t>
        </is>
      </c>
      <c r="D4" s="4" t="inlineStr">
        <is>
          <t>EQ-003</t>
        </is>
      </c>
      <c r="E4" s="4" t="inlineStr">
        <is>
          <t>MA1600Ⅲ</t>
        </is>
      </c>
      <c r="F4" s="5" t="n">
        <v>1</v>
      </c>
      <c r="G4" s="4" t="inlineStr">
        <is>
          <t>是</t>
        </is>
      </c>
      <c r="H4" s="4" t="inlineStr"/>
      <c r="I4" s="4" t="inlineStr"/>
    </row>
    <row r="5">
      <c r="A5" s="4" t="inlineStr">
        <is>
          <t>N007-OP010</t>
        </is>
      </c>
      <c r="B5" s="4" t="inlineStr">
        <is>
          <t>N007</t>
        </is>
      </c>
      <c r="C5" s="4" t="inlineStr">
        <is>
          <t>设备</t>
        </is>
      </c>
      <c r="D5" s="4" t="inlineStr">
        <is>
          <t>EQ-003</t>
        </is>
      </c>
      <c r="E5" s="4" t="inlineStr">
        <is>
          <t>MA1600Ⅲ</t>
        </is>
      </c>
      <c r="F5" s="5" t="n">
        <v>1</v>
      </c>
      <c r="G5" s="4" t="inlineStr">
        <is>
          <t>是</t>
        </is>
      </c>
      <c r="H5" s="4" t="inlineStr"/>
      <c r="I5" s="4" t="inlineStr"/>
    </row>
    <row r="6">
      <c r="A6" s="4" t="inlineStr">
        <is>
          <t>N009-OP010</t>
        </is>
      </c>
      <c r="B6" s="4" t="inlineStr">
        <is>
          <t>N009</t>
        </is>
      </c>
      <c r="C6" s="4" t="inlineStr">
        <is>
          <t>设备</t>
        </is>
      </c>
      <c r="D6" s="4" t="inlineStr">
        <is>
          <t>EQ-004</t>
        </is>
      </c>
      <c r="E6" s="4" t="inlineStr">
        <is>
          <t>MA1440</t>
        </is>
      </c>
      <c r="F6" s="5" t="n">
        <v>1</v>
      </c>
      <c r="G6" s="4" t="inlineStr">
        <is>
          <t>是</t>
        </is>
      </c>
      <c r="H6" s="4" t="inlineStr"/>
      <c r="I6" s="4" t="inlineStr"/>
    </row>
    <row r="7">
      <c r="A7" s="4" t="inlineStr">
        <is>
          <t>N010-OP010</t>
        </is>
      </c>
      <c r="B7" s="4" t="inlineStr">
        <is>
          <t>N010</t>
        </is>
      </c>
      <c r="C7" s="4" t="inlineStr">
        <is>
          <t>设备</t>
        </is>
      </c>
      <c r="D7" s="4" t="inlineStr">
        <is>
          <t>EQ-004</t>
        </is>
      </c>
      <c r="E7" s="4" t="inlineStr">
        <is>
          <t>MA1440</t>
        </is>
      </c>
      <c r="F7" s="5" t="n">
        <v>1</v>
      </c>
      <c r="G7" s="4" t="inlineStr">
        <is>
          <t>是</t>
        </is>
      </c>
      <c r="H7" s="4" t="inlineStr"/>
      <c r="I7" s="4" t="inlineStr"/>
    </row>
    <row r="8">
      <c r="A8" s="4" t="inlineStr">
        <is>
          <t>N011-OP010</t>
        </is>
      </c>
      <c r="B8" s="4" t="inlineStr">
        <is>
          <t>N011</t>
        </is>
      </c>
      <c r="C8" s="4" t="inlineStr">
        <is>
          <t>设备</t>
        </is>
      </c>
      <c r="D8" s="4" t="inlineStr">
        <is>
          <t>EQ-005</t>
        </is>
      </c>
      <c r="E8" s="4" t="inlineStr">
        <is>
          <t>JH21-250</t>
        </is>
      </c>
      <c r="F8" s="5" t="n">
        <v>1</v>
      </c>
      <c r="G8" s="4" t="inlineStr">
        <is>
          <t>是</t>
        </is>
      </c>
      <c r="H8" s="4" t="inlineStr"/>
      <c r="I8" s="4" t="inlineStr"/>
    </row>
    <row r="9">
      <c r="A9" s="4" t="inlineStr">
        <is>
          <t>N011-OP020</t>
        </is>
      </c>
      <c r="B9" s="4" t="inlineStr">
        <is>
          <t>N011</t>
        </is>
      </c>
      <c r="C9" s="4" t="inlineStr">
        <is>
          <t>设备</t>
        </is>
      </c>
      <c r="D9" s="4" t="inlineStr">
        <is>
          <t>EQ-005</t>
        </is>
      </c>
      <c r="E9" s="4" t="inlineStr">
        <is>
          <t>JH21-250</t>
        </is>
      </c>
      <c r="F9" s="5" t="n">
        <v>1</v>
      </c>
      <c r="G9" s="4" t="inlineStr">
        <is>
          <t>是</t>
        </is>
      </c>
      <c r="H9" s="4" t="inlineStr"/>
      <c r="I9" s="4" t="inlineStr"/>
    </row>
    <row r="10">
      <c r="A10" s="4" t="inlineStr">
        <is>
          <t>N011-OP030</t>
        </is>
      </c>
      <c r="B10" s="4" t="inlineStr">
        <is>
          <t>N011</t>
        </is>
      </c>
      <c r="C10" s="4" t="inlineStr">
        <is>
          <t>设备</t>
        </is>
      </c>
      <c r="D10" s="4" t="inlineStr">
        <is>
          <t>EQ-005</t>
        </is>
      </c>
      <c r="E10" s="4" t="inlineStr">
        <is>
          <t>JH21-250</t>
        </is>
      </c>
      <c r="F10" s="5" t="n">
        <v>1</v>
      </c>
      <c r="G10" s="4" t="inlineStr">
        <is>
          <t>是</t>
        </is>
      </c>
      <c r="H10" s="4" t="inlineStr"/>
      <c r="I10" s="4" t="inlineStr"/>
    </row>
    <row r="11">
      <c r="A11" s="4" t="inlineStr">
        <is>
          <t>N011-OP040</t>
        </is>
      </c>
      <c r="B11" s="4" t="inlineStr">
        <is>
          <t>N011</t>
        </is>
      </c>
      <c r="C11" s="4" t="inlineStr">
        <is>
          <t>设备</t>
        </is>
      </c>
      <c r="D11" s="4" t="inlineStr">
        <is>
          <t>EQ-005</t>
        </is>
      </c>
      <c r="E11" s="4" t="inlineStr">
        <is>
          <t>JH21-250</t>
        </is>
      </c>
      <c r="F11" s="5" t="n">
        <v>1</v>
      </c>
      <c r="G11" s="4" t="inlineStr">
        <is>
          <t>是</t>
        </is>
      </c>
      <c r="H11" s="4" t="inlineStr"/>
      <c r="I11" s="4" t="inlineStr"/>
    </row>
    <row r="12">
      <c r="A12" s="4" t="inlineStr">
        <is>
          <t>N012-OP010</t>
        </is>
      </c>
      <c r="B12" s="4" t="inlineStr">
        <is>
          <t>N012</t>
        </is>
      </c>
      <c r="C12" s="4" t="inlineStr">
        <is>
          <t>设备</t>
        </is>
      </c>
      <c r="D12" s="4" t="inlineStr">
        <is>
          <t>EQ-005</t>
        </is>
      </c>
      <c r="E12" s="4" t="inlineStr">
        <is>
          <t>JH21-250</t>
        </is>
      </c>
      <c r="F12" s="5" t="n">
        <v>1</v>
      </c>
      <c r="G12" s="4" t="inlineStr">
        <is>
          <t>是</t>
        </is>
      </c>
      <c r="H12" s="4" t="inlineStr"/>
      <c r="I12" s="4" t="inlineStr"/>
    </row>
    <row r="13">
      <c r="A13" s="4" t="inlineStr">
        <is>
          <t>N012-OP020</t>
        </is>
      </c>
      <c r="B13" s="4" t="inlineStr">
        <is>
          <t>N012</t>
        </is>
      </c>
      <c r="C13" s="4" t="inlineStr">
        <is>
          <t>设备</t>
        </is>
      </c>
      <c r="D13" s="4" t="inlineStr">
        <is>
          <t>EQ-005</t>
        </is>
      </c>
      <c r="E13" s="4" t="inlineStr">
        <is>
          <t>JH21-250</t>
        </is>
      </c>
      <c r="F13" s="5" t="n">
        <v>1</v>
      </c>
      <c r="G13" s="4" t="inlineStr">
        <is>
          <t>是</t>
        </is>
      </c>
      <c r="H13" s="4" t="inlineStr"/>
      <c r="I13" s="4" t="inlineStr"/>
    </row>
    <row r="14">
      <c r="A14" s="4" t="inlineStr">
        <is>
          <t>N012-OP030</t>
        </is>
      </c>
      <c r="B14" s="4" t="inlineStr">
        <is>
          <t>N012</t>
        </is>
      </c>
      <c r="C14" s="4" t="inlineStr">
        <is>
          <t>设备</t>
        </is>
      </c>
      <c r="D14" s="4" t="inlineStr">
        <is>
          <t>EQ-005</t>
        </is>
      </c>
      <c r="E14" s="4" t="inlineStr">
        <is>
          <t>JH21-250</t>
        </is>
      </c>
      <c r="F14" s="5" t="n">
        <v>1</v>
      </c>
      <c r="G14" s="4" t="inlineStr">
        <is>
          <t>是</t>
        </is>
      </c>
      <c r="H14" s="4" t="inlineStr"/>
      <c r="I14" s="4" t="inlineStr"/>
    </row>
    <row r="15">
      <c r="A15" s="4" t="inlineStr">
        <is>
          <t>N012-OP040</t>
        </is>
      </c>
      <c r="B15" s="4" t="inlineStr">
        <is>
          <t>N012</t>
        </is>
      </c>
      <c r="C15" s="4" t="inlineStr">
        <is>
          <t>设备</t>
        </is>
      </c>
      <c r="D15" s="4" t="inlineStr">
        <is>
          <t>EQ-005</t>
        </is>
      </c>
      <c r="E15" s="4" t="inlineStr">
        <is>
          <t>JH21-250</t>
        </is>
      </c>
      <c r="F15" s="5" t="n">
        <v>1</v>
      </c>
      <c r="G15" s="4" t="inlineStr">
        <is>
          <t>是</t>
        </is>
      </c>
      <c r="H15" s="4" t="inlineStr"/>
      <c r="I15" s="4" t="inlineStr"/>
    </row>
    <row r="16">
      <c r="A16" s="4" t="inlineStr">
        <is>
          <t>N013-OP010</t>
        </is>
      </c>
      <c r="B16" s="4" t="inlineStr">
        <is>
          <t>N013</t>
        </is>
      </c>
      <c r="C16" s="4" t="inlineStr">
        <is>
          <t>设备</t>
        </is>
      </c>
      <c r="D16" s="4" t="inlineStr">
        <is>
          <t>EQ-005</t>
        </is>
      </c>
      <c r="E16" s="4" t="inlineStr">
        <is>
          <t>JH21-250</t>
        </is>
      </c>
      <c r="F16" s="5" t="n">
        <v>1</v>
      </c>
      <c r="G16" s="4" t="inlineStr">
        <is>
          <t>是</t>
        </is>
      </c>
      <c r="H16" s="4" t="inlineStr"/>
      <c r="I16" s="4" t="inlineStr"/>
    </row>
    <row r="17">
      <c r="A17" s="4" t="inlineStr">
        <is>
          <t>N014-OP010</t>
        </is>
      </c>
      <c r="B17" s="4" t="inlineStr">
        <is>
          <t>N014</t>
        </is>
      </c>
      <c r="C17" s="4" t="inlineStr">
        <is>
          <t>设备</t>
        </is>
      </c>
      <c r="D17" s="4" t="inlineStr">
        <is>
          <t>EQ-004</t>
        </is>
      </c>
      <c r="E17" s="4" t="inlineStr">
        <is>
          <t>MA1440</t>
        </is>
      </c>
      <c r="F17" s="5" t="n">
        <v>1</v>
      </c>
      <c r="G17" s="4" t="inlineStr">
        <is>
          <t>是</t>
        </is>
      </c>
      <c r="H17" s="4" t="inlineStr"/>
      <c r="I17" s="4" t="inlineStr"/>
    </row>
    <row r="18">
      <c r="A18" s="4" t="inlineStr">
        <is>
          <t>N015-OP010</t>
        </is>
      </c>
      <c r="B18" s="4" t="inlineStr">
        <is>
          <t>N015</t>
        </is>
      </c>
      <c r="C18" s="4" t="inlineStr">
        <is>
          <t>设备</t>
        </is>
      </c>
      <c r="D18" s="4" t="inlineStr">
        <is>
          <t>EQ-006</t>
        </is>
      </c>
      <c r="E18" s="4" t="inlineStr">
        <is>
          <t>SP2-250</t>
        </is>
      </c>
      <c r="F18" s="5" t="n">
        <v>1</v>
      </c>
      <c r="G18" s="4" t="inlineStr">
        <is>
          <t>是</t>
        </is>
      </c>
      <c r="H18" s="4" t="inlineStr"/>
      <c r="I1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  <col width="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设备</t>
        </is>
      </c>
      <c r="D1" s="3" t="inlineStr">
        <is>
          <t>操作人数</t>
        </is>
      </c>
      <c r="E1" s="3" t="inlineStr">
        <is>
          <t>Cycle Time (s)</t>
        </is>
      </c>
      <c r="F1" s="3" t="inlineStr">
        <is>
          <t>Pieces Per Cycle</t>
        </is>
      </c>
      <c r="G1" s="3" t="inlineStr">
        <is>
          <t>Effective Cycle Time (s)</t>
        </is>
      </c>
      <c r="H1" s="3" t="inlineStr">
        <is>
          <t>OEE</t>
        </is>
      </c>
      <c r="I1" s="3" t="inlineStr">
        <is>
          <t>小时理论产能</t>
        </is>
      </c>
      <c r="J1" s="3" t="inlineStr">
        <is>
          <t>小时计划产能</t>
        </is>
      </c>
      <c r="K1" s="3" t="inlineStr">
        <is>
          <t>产线数量</t>
        </is>
      </c>
      <c r="L1" s="3" t="inlineStr">
        <is>
          <t>小时/天</t>
        </is>
      </c>
      <c r="M1" s="3" t="inlineStr">
        <is>
          <t>日产能</t>
        </is>
      </c>
    </row>
    <row r="2">
      <c r="A2" s="4" t="inlineStr">
        <is>
          <t>N001-OP010</t>
        </is>
      </c>
      <c r="B2" s="4" t="inlineStr">
        <is>
          <t>N001</t>
        </is>
      </c>
      <c r="C2" s="4" t="inlineStr">
        <is>
          <t>组装生产线</t>
        </is>
      </c>
      <c r="D2" s="5" t="n">
        <v>4</v>
      </c>
      <c r="E2" s="5" t="n">
        <v>45</v>
      </c>
      <c r="F2" s="5" t="n">
        <v>1</v>
      </c>
      <c r="G2" s="5" t="n">
        <v>45</v>
      </c>
      <c r="H2" s="5" t="n">
        <v>0.85</v>
      </c>
      <c r="I2" s="5" t="n">
        <v>80</v>
      </c>
      <c r="J2" s="5" t="n">
        <v>68</v>
      </c>
      <c r="K2" s="5" t="n">
        <v>1</v>
      </c>
      <c r="L2" s="5" t="n">
        <v>20</v>
      </c>
      <c r="M2" s="4" t="n"/>
    </row>
    <row r="3">
      <c r="A3" s="4" t="inlineStr">
        <is>
          <t>N002-OP010</t>
        </is>
      </c>
      <c r="B3" s="4" t="inlineStr">
        <is>
          <t>N002</t>
        </is>
      </c>
      <c r="C3" s="4" t="inlineStr">
        <is>
          <t>MA3800Ⅲ</t>
        </is>
      </c>
      <c r="D3" s="5" t="n">
        <v>1</v>
      </c>
      <c r="E3" s="5" t="n">
        <v>98</v>
      </c>
      <c r="F3" s="5" t="n">
        <v>2</v>
      </c>
      <c r="G3" s="5" t="n">
        <v>49</v>
      </c>
      <c r="H3" s="5" t="n">
        <v>0.95</v>
      </c>
      <c r="I3" s="5" t="n">
        <v>73</v>
      </c>
      <c r="J3" s="5" t="n">
        <v>70</v>
      </c>
      <c r="K3" s="5" t="n">
        <v>1</v>
      </c>
      <c r="L3" s="5" t="n">
        <v>22</v>
      </c>
      <c r="M3" s="4" t="n"/>
    </row>
    <row r="4">
      <c r="A4" s="4" t="inlineStr">
        <is>
          <t>N006-OP010</t>
        </is>
      </c>
      <c r="B4" s="4" t="inlineStr">
        <is>
          <t>N006</t>
        </is>
      </c>
      <c r="C4" s="4" t="inlineStr">
        <is>
          <t>MA1600Ⅲ</t>
        </is>
      </c>
      <c r="D4" s="5" t="n">
        <v>1</v>
      </c>
      <c r="E4" s="5" t="n">
        <v>45</v>
      </c>
      <c r="F4" s="5" t="n">
        <v>2</v>
      </c>
      <c r="G4" s="5" t="n">
        <v>22.5</v>
      </c>
      <c r="H4" s="5" t="n">
        <v>0.95</v>
      </c>
      <c r="I4" s="5" t="n">
        <v>160</v>
      </c>
      <c r="J4" s="5" t="n">
        <v>152</v>
      </c>
      <c r="K4" s="5" t="n">
        <v>1</v>
      </c>
      <c r="L4" s="5" t="n">
        <v>22</v>
      </c>
      <c r="M4" s="4" t="n"/>
    </row>
    <row r="5">
      <c r="A5" s="4" t="inlineStr">
        <is>
          <t>N007-OP010</t>
        </is>
      </c>
      <c r="B5" s="4" t="inlineStr">
        <is>
          <t>N007</t>
        </is>
      </c>
      <c r="C5" s="4" t="inlineStr">
        <is>
          <t>MA1600Ⅲ</t>
        </is>
      </c>
      <c r="D5" s="5" t="n">
        <v>1</v>
      </c>
      <c r="E5" s="5" t="n">
        <v>46</v>
      </c>
      <c r="F5" s="5" t="n">
        <v>2</v>
      </c>
      <c r="G5" s="5" t="n">
        <v>23</v>
      </c>
      <c r="H5" s="5" t="n">
        <v>0.95</v>
      </c>
      <c r="I5" s="5" t="n">
        <v>157</v>
      </c>
      <c r="J5" s="5" t="n">
        <v>149</v>
      </c>
      <c r="K5" s="5" t="n">
        <v>1</v>
      </c>
      <c r="L5" s="5" t="n">
        <v>22</v>
      </c>
      <c r="M5" s="4" t="n"/>
    </row>
    <row r="6">
      <c r="A6" s="4" t="inlineStr">
        <is>
          <t>N009-OP010</t>
        </is>
      </c>
      <c r="B6" s="4" t="inlineStr">
        <is>
          <t>N009</t>
        </is>
      </c>
      <c r="C6" s="4" t="inlineStr">
        <is>
          <t>MA1440</t>
        </is>
      </c>
      <c r="D6" s="5" t="n">
        <v>1</v>
      </c>
      <c r="E6" s="5" t="n">
        <v>72</v>
      </c>
      <c r="F6" s="5" t="n">
        <v>1</v>
      </c>
      <c r="G6" s="5" t="n">
        <v>72</v>
      </c>
      <c r="H6" s="5" t="n">
        <v>0.85</v>
      </c>
      <c r="I6" s="5" t="n">
        <v>50</v>
      </c>
      <c r="J6" s="5" t="n">
        <v>42</v>
      </c>
      <c r="K6" s="5" t="n">
        <v>2</v>
      </c>
      <c r="L6" s="5" t="n">
        <v>20</v>
      </c>
      <c r="M6" s="4" t="n"/>
    </row>
    <row r="7">
      <c r="A7" s="4" t="inlineStr">
        <is>
          <t>N010-OP010</t>
        </is>
      </c>
      <c r="B7" s="4" t="inlineStr">
        <is>
          <t>N010</t>
        </is>
      </c>
      <c r="C7" s="4" t="inlineStr">
        <is>
          <t>MA1440</t>
        </is>
      </c>
      <c r="D7" s="5" t="n">
        <v>1</v>
      </c>
      <c r="E7" s="5" t="n">
        <v>102</v>
      </c>
      <c r="F7" s="5" t="n">
        <v>1</v>
      </c>
      <c r="G7" s="5" t="n">
        <v>102</v>
      </c>
      <c r="H7" s="5" t="n">
        <v>0.85</v>
      </c>
      <c r="I7" s="5" t="n">
        <v>35</v>
      </c>
      <c r="J7" s="5" t="n">
        <v>30</v>
      </c>
      <c r="K7" s="5" t="n">
        <v>3</v>
      </c>
      <c r="L7" s="5" t="n">
        <v>20</v>
      </c>
      <c r="M7" s="4" t="n"/>
    </row>
    <row r="8">
      <c r="A8" s="4" t="inlineStr">
        <is>
          <t>N011-OP010</t>
        </is>
      </c>
      <c r="B8" s="4" t="inlineStr">
        <is>
          <t>N011</t>
        </is>
      </c>
      <c r="C8" s="4" t="inlineStr">
        <is>
          <t>JH21-250</t>
        </is>
      </c>
      <c r="D8" s="5" t="n">
        <v>1</v>
      </c>
      <c r="E8" s="5" t="n">
        <v>6</v>
      </c>
      <c r="F8" s="5" t="n">
        <v>1</v>
      </c>
      <c r="G8" s="5" t="n">
        <v>6</v>
      </c>
      <c r="H8" s="5" t="n">
        <v>0.85</v>
      </c>
      <c r="I8" s="5" t="n">
        <v>600</v>
      </c>
      <c r="J8" s="5" t="n">
        <v>510</v>
      </c>
      <c r="K8" s="5" t="n">
        <v>1</v>
      </c>
      <c r="L8" s="5" t="n">
        <v>20</v>
      </c>
      <c r="M8" s="4" t="n"/>
    </row>
    <row r="9">
      <c r="A9" s="4" t="inlineStr">
        <is>
          <t>N011-OP020</t>
        </is>
      </c>
      <c r="B9" s="4" t="inlineStr">
        <is>
          <t>N011</t>
        </is>
      </c>
      <c r="C9" s="4" t="inlineStr">
        <is>
          <t>JH21-250</t>
        </is>
      </c>
      <c r="D9" s="5" t="n">
        <v>1</v>
      </c>
      <c r="E9" s="5" t="n">
        <v>8</v>
      </c>
      <c r="F9" s="5" t="n">
        <v>2</v>
      </c>
      <c r="G9" s="5" t="n">
        <v>4</v>
      </c>
      <c r="H9" s="5" t="n">
        <v>0.85</v>
      </c>
      <c r="I9" s="5" t="n">
        <v>900</v>
      </c>
      <c r="J9" s="5" t="n">
        <v>765</v>
      </c>
      <c r="K9" s="5" t="n">
        <v>1</v>
      </c>
      <c r="L9" s="5" t="n">
        <v>20</v>
      </c>
      <c r="M9" s="4" t="n"/>
    </row>
    <row r="10">
      <c r="A10" s="4" t="inlineStr">
        <is>
          <t>N011-OP030</t>
        </is>
      </c>
      <c r="B10" s="4" t="inlineStr">
        <is>
          <t>N011</t>
        </is>
      </c>
      <c r="C10" s="4" t="inlineStr">
        <is>
          <t>JH21-250</t>
        </is>
      </c>
      <c r="D10" s="5" t="n">
        <v>1</v>
      </c>
      <c r="E10" s="5" t="n">
        <v>8</v>
      </c>
      <c r="F10" s="5" t="n">
        <v>2</v>
      </c>
      <c r="G10" s="5" t="n">
        <v>4</v>
      </c>
      <c r="H10" s="5" t="n">
        <v>0.85</v>
      </c>
      <c r="I10" s="5" t="n">
        <v>900</v>
      </c>
      <c r="J10" s="5" t="n">
        <v>765</v>
      </c>
      <c r="K10" s="5" t="n">
        <v>1</v>
      </c>
      <c r="L10" s="5" t="n">
        <v>20</v>
      </c>
      <c r="M10" s="4" t="n"/>
    </row>
    <row r="11">
      <c r="A11" s="4" t="inlineStr">
        <is>
          <t>N011-OP040</t>
        </is>
      </c>
      <c r="B11" s="4" t="inlineStr">
        <is>
          <t>N011</t>
        </is>
      </c>
      <c r="C11" s="4" t="inlineStr">
        <is>
          <t>JH21-250</t>
        </is>
      </c>
      <c r="D11" s="5" t="n">
        <v>1</v>
      </c>
      <c r="E11" s="5" t="n">
        <v>8</v>
      </c>
      <c r="F11" s="5" t="n">
        <v>2</v>
      </c>
      <c r="G11" s="5" t="n">
        <v>4</v>
      </c>
      <c r="H11" s="5" t="n">
        <v>0.85</v>
      </c>
      <c r="I11" s="5" t="n">
        <v>900</v>
      </c>
      <c r="J11" s="5" t="n">
        <v>765</v>
      </c>
      <c r="K11" s="5" t="n">
        <v>1</v>
      </c>
      <c r="L11" s="5" t="n">
        <v>20</v>
      </c>
      <c r="M11" s="4" t="n"/>
    </row>
    <row r="12">
      <c r="A12" s="4" t="inlineStr">
        <is>
          <t>N012-OP010</t>
        </is>
      </c>
      <c r="B12" s="4" t="inlineStr">
        <is>
          <t>N012</t>
        </is>
      </c>
      <c r="C12" s="4" t="inlineStr">
        <is>
          <t>JH21-250</t>
        </is>
      </c>
      <c r="D12" s="5" t="n">
        <v>1</v>
      </c>
      <c r="E12" s="5" t="n">
        <v>6</v>
      </c>
      <c r="F12" s="5" t="n">
        <v>1</v>
      </c>
      <c r="G12" s="5" t="n">
        <v>6</v>
      </c>
      <c r="H12" s="5" t="n">
        <v>0.85</v>
      </c>
      <c r="I12" s="5" t="n">
        <v>600</v>
      </c>
      <c r="J12" s="5" t="n">
        <v>510</v>
      </c>
      <c r="K12" s="5" t="n">
        <v>1</v>
      </c>
      <c r="L12" s="5" t="n">
        <v>20</v>
      </c>
      <c r="M12" s="4" t="n"/>
    </row>
    <row r="13">
      <c r="A13" s="4" t="inlineStr">
        <is>
          <t>N012-OP020</t>
        </is>
      </c>
      <c r="B13" s="4" t="inlineStr">
        <is>
          <t>N012</t>
        </is>
      </c>
      <c r="C13" s="4" t="inlineStr">
        <is>
          <t>JH21-250</t>
        </is>
      </c>
      <c r="D13" s="5" t="n">
        <v>1</v>
      </c>
      <c r="E13" s="5" t="n">
        <v>8</v>
      </c>
      <c r="F13" s="5" t="n">
        <v>2</v>
      </c>
      <c r="G13" s="5" t="n">
        <v>4</v>
      </c>
      <c r="H13" s="5" t="n">
        <v>0.85</v>
      </c>
      <c r="I13" s="5" t="n">
        <v>900</v>
      </c>
      <c r="J13" s="5" t="n">
        <v>765</v>
      </c>
      <c r="K13" s="5" t="n">
        <v>1</v>
      </c>
      <c r="L13" s="5" t="n">
        <v>20</v>
      </c>
      <c r="M13" s="4" t="n"/>
    </row>
    <row r="14">
      <c r="A14" s="4" t="inlineStr">
        <is>
          <t>N012-OP030</t>
        </is>
      </c>
      <c r="B14" s="4" t="inlineStr">
        <is>
          <t>N012</t>
        </is>
      </c>
      <c r="C14" s="4" t="inlineStr">
        <is>
          <t>JH21-250</t>
        </is>
      </c>
      <c r="D14" s="5" t="n">
        <v>1</v>
      </c>
      <c r="E14" s="5" t="n">
        <v>8</v>
      </c>
      <c r="F14" s="5" t="n">
        <v>2</v>
      </c>
      <c r="G14" s="5" t="n">
        <v>4</v>
      </c>
      <c r="H14" s="5" t="n">
        <v>0.85</v>
      </c>
      <c r="I14" s="5" t="n">
        <v>900</v>
      </c>
      <c r="J14" s="5" t="n">
        <v>765</v>
      </c>
      <c r="K14" s="5" t="n">
        <v>1</v>
      </c>
      <c r="L14" s="5" t="n">
        <v>20</v>
      </c>
      <c r="M14" s="4" t="n"/>
    </row>
    <row r="15">
      <c r="A15" s="4" t="inlineStr">
        <is>
          <t>N012-OP040</t>
        </is>
      </c>
      <c r="B15" s="4" t="inlineStr">
        <is>
          <t>N012</t>
        </is>
      </c>
      <c r="C15" s="4" t="inlineStr">
        <is>
          <t>JH21-250</t>
        </is>
      </c>
      <c r="D15" s="5" t="n">
        <v>1</v>
      </c>
      <c r="E15" s="5" t="n">
        <v>8</v>
      </c>
      <c r="F15" s="5" t="n">
        <v>2</v>
      </c>
      <c r="G15" s="5" t="n">
        <v>4</v>
      </c>
      <c r="H15" s="5" t="n">
        <v>0.85</v>
      </c>
      <c r="I15" s="5" t="n">
        <v>900</v>
      </c>
      <c r="J15" s="5" t="n">
        <v>765</v>
      </c>
      <c r="K15" s="5" t="n">
        <v>1</v>
      </c>
      <c r="L15" s="5" t="n">
        <v>20</v>
      </c>
      <c r="M15" s="4" t="n"/>
    </row>
    <row r="16">
      <c r="A16" s="4" t="inlineStr">
        <is>
          <t>N013-OP010</t>
        </is>
      </c>
      <c r="B16" s="4" t="inlineStr">
        <is>
          <t>N013</t>
        </is>
      </c>
      <c r="C16" s="4" t="inlineStr">
        <is>
          <t>JH21-250</t>
        </is>
      </c>
      <c r="D16" s="5" t="n">
        <v>1</v>
      </c>
      <c r="E16" s="5" t="n">
        <v>6</v>
      </c>
      <c r="F16" s="5" t="n">
        <v>1</v>
      </c>
      <c r="G16" s="5" t="n">
        <v>6</v>
      </c>
      <c r="H16" s="5" t="n">
        <v>0.85</v>
      </c>
      <c r="I16" s="5" t="n">
        <v>600</v>
      </c>
      <c r="J16" s="5" t="n">
        <v>510</v>
      </c>
      <c r="K16" s="5" t="n">
        <v>1</v>
      </c>
      <c r="L16" s="5" t="n">
        <v>20</v>
      </c>
      <c r="M16" s="4" t="n"/>
    </row>
    <row r="17">
      <c r="A17" s="4" t="inlineStr">
        <is>
          <t>N014-OP010</t>
        </is>
      </c>
      <c r="B17" s="4" t="inlineStr">
        <is>
          <t>N014</t>
        </is>
      </c>
      <c r="C17" s="4" t="inlineStr">
        <is>
          <t>MA1440</t>
        </is>
      </c>
      <c r="D17" s="5" t="n">
        <v>1</v>
      </c>
      <c r="E17" s="5" t="n">
        <v>100</v>
      </c>
      <c r="F17" s="5" t="n">
        <v>4</v>
      </c>
      <c r="G17" s="5" t="n">
        <v>25</v>
      </c>
      <c r="H17" s="5" t="n">
        <v>0.85</v>
      </c>
      <c r="I17" s="5" t="n">
        <v>144</v>
      </c>
      <c r="J17" s="5" t="n">
        <v>122</v>
      </c>
      <c r="K17" s="5" t="n">
        <v>1</v>
      </c>
      <c r="L17" s="5" t="n">
        <v>20</v>
      </c>
      <c r="M17" s="4" t="n"/>
    </row>
    <row r="18">
      <c r="A18" s="4" t="inlineStr">
        <is>
          <t>N015-OP010</t>
        </is>
      </c>
      <c r="B18" s="4" t="inlineStr">
        <is>
          <t>N015</t>
        </is>
      </c>
      <c r="C18" s="4" t="inlineStr">
        <is>
          <t>SP2-250</t>
        </is>
      </c>
      <c r="D18" s="5" t="n">
        <v>1</v>
      </c>
      <c r="E18" s="5" t="n">
        <v>3</v>
      </c>
      <c r="F18" s="5" t="n">
        <v>1</v>
      </c>
      <c r="G18" s="5" t="n">
        <v>3</v>
      </c>
      <c r="H18" s="5" t="n">
        <v>0.75</v>
      </c>
      <c r="I18" s="5" t="n">
        <v>1200</v>
      </c>
      <c r="J18" s="5" t="n">
        <v>900</v>
      </c>
      <c r="K18" s="5" t="n">
        <v>1</v>
      </c>
      <c r="L18" s="5" t="n">
        <v>20</v>
      </c>
      <c r="M18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4" customWidth="1" min="16" max="16"/>
    <col width="16" customWidth="1" min="17" max="17"/>
  </cols>
  <sheetData>
    <row r="1">
      <c r="A1" s="3" t="inlineStr">
        <is>
          <t>工序/Node</t>
        </is>
      </c>
      <c r="B1" s="3" t="inlineStr">
        <is>
          <t>物料编码</t>
        </is>
      </c>
      <c r="C1" s="3" t="inlineStr">
        <is>
          <t>原料编码</t>
        </is>
      </c>
      <c r="D1" s="3" t="inlineStr">
        <is>
          <t>材质</t>
        </is>
      </c>
      <c r="E1" s="3" t="inlineStr">
        <is>
          <t>长 mm</t>
        </is>
      </c>
      <c r="F1" s="3" t="inlineStr">
        <is>
          <t>宽 mm</t>
        </is>
      </c>
      <c r="G1" s="3" t="inlineStr">
        <is>
          <t>厚度 mm</t>
        </is>
      </c>
      <c r="H1" s="3" t="inlineStr">
        <is>
          <t>料片出件数</t>
        </is>
      </c>
      <c r="I1" s="3" t="inlineStr">
        <is>
          <t>步进</t>
        </is>
      </c>
      <c r="J1" s="3" t="inlineStr">
        <is>
          <t>每次步进出件</t>
        </is>
      </c>
      <c r="K1" s="3" t="inlineStr">
        <is>
          <t>材料密度 g/cm3</t>
        </is>
      </c>
      <c r="L1" s="3" t="inlineStr">
        <is>
          <t>单件毛重 g</t>
        </is>
      </c>
      <c r="M1" s="3" t="inlineStr">
        <is>
          <t>理论重量 g</t>
        </is>
      </c>
      <c r="N1" s="3" t="inlineStr">
        <is>
          <t>单件净重 g</t>
        </is>
      </c>
      <c r="O1" s="3" t="inlineStr">
        <is>
          <t>利用率（净重/毛重）</t>
        </is>
      </c>
      <c r="P1" s="3" t="inlineStr">
        <is>
          <t>表面处理</t>
        </is>
      </c>
      <c r="Q1" s="3" t="inlineStr">
        <is>
          <t>备注</t>
        </is>
      </c>
    </row>
    <row r="2">
      <c r="A2" s="4" t="inlineStr">
        <is>
          <t>N002</t>
        </is>
      </c>
      <c r="B2" s="4" t="inlineStr">
        <is>
          <t>69F196B00002</t>
        </is>
      </c>
      <c r="C2" s="4" t="inlineStr">
        <is>
          <t>RM-PP+GF40(P708BK)</t>
        </is>
      </c>
      <c r="D2" s="4" t="inlineStr">
        <is>
          <t>PP+GF40(P708BK)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5" t="n">
        <v>324</v>
      </c>
      <c r="N2" s="4" t="n"/>
      <c r="O2" s="4" t="n"/>
      <c r="P2" s="4" t="inlineStr"/>
      <c r="Q2" s="4" t="inlineStr"/>
    </row>
    <row r="3">
      <c r="A3" s="4" t="inlineStr">
        <is>
          <t>N006</t>
        </is>
      </c>
      <c r="B3" s="4" t="inlineStr">
        <is>
          <t>69F196B00003</t>
        </is>
      </c>
      <c r="C3" s="4" t="inlineStr">
        <is>
          <t>RM-PVC_A165162
(星钻黑）</t>
        </is>
      </c>
      <c r="D3" s="4" t="inlineStr">
        <is>
          <t>PVC A165162
(星钻黑）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5" t="n">
        <v>56</v>
      </c>
      <c r="N3" s="4" t="n"/>
      <c r="O3" s="4" t="n"/>
      <c r="P3" s="4" t="inlineStr"/>
      <c r="Q3" s="4" t="inlineStr"/>
    </row>
    <row r="4">
      <c r="A4" s="4" t="inlineStr">
        <is>
          <t>N007</t>
        </is>
      </c>
      <c r="B4" s="4" t="inlineStr">
        <is>
          <t>604400000004</t>
        </is>
      </c>
      <c r="C4" s="4" t="inlineStr">
        <is>
          <t>RM-POM_M25-44
Q-MAM_4106</t>
        </is>
      </c>
      <c r="D4" s="4" t="inlineStr">
        <is>
          <t>POM M25-44
Q/MAM 4106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5" t="n">
        <v>10</v>
      </c>
      <c r="N4" s="4" t="n"/>
      <c r="O4" s="4" t="n"/>
      <c r="P4" s="4" t="inlineStr"/>
      <c r="Q4" s="4" t="inlineStr"/>
    </row>
    <row r="5">
      <c r="A5" s="4" t="inlineStr">
        <is>
          <t>N011</t>
        </is>
      </c>
      <c r="B5" s="4" t="inlineStr">
        <is>
          <t>41196B000002</t>
        </is>
      </c>
      <c r="C5" s="4" t="inlineStr">
        <is>
          <t>RM-HC420-780DP</t>
        </is>
      </c>
      <c r="D5" s="4" t="inlineStr">
        <is>
          <t>HC420/780DP</t>
        </is>
      </c>
      <c r="E5" s="5" t="n">
        <v>1180</v>
      </c>
      <c r="F5" s="5" t="n">
        <v>350</v>
      </c>
      <c r="G5" s="5" t="n">
        <v>1.5</v>
      </c>
      <c r="H5" s="5" t="n">
        <v>14</v>
      </c>
      <c r="I5" s="4" t="n"/>
      <c r="J5" s="4" t="n"/>
      <c r="K5" s="5" t="n">
        <v>7.85</v>
      </c>
      <c r="L5" s="4" t="n"/>
      <c r="M5" s="5" t="n">
        <v>199</v>
      </c>
      <c r="N5" s="4" t="n"/>
      <c r="O5" s="4" t="n"/>
      <c r="P5" s="4" t="inlineStr"/>
      <c r="Q5" s="4" t="inlineStr"/>
    </row>
    <row r="6">
      <c r="A6" s="4" t="inlineStr">
        <is>
          <t>N013</t>
        </is>
      </c>
      <c r="B6" s="4" t="inlineStr">
        <is>
          <t>41196B000001</t>
        </is>
      </c>
      <c r="C6" s="4" t="inlineStr">
        <is>
          <t>RM-SAPH440</t>
        </is>
      </c>
      <c r="D6" s="4" t="inlineStr">
        <is>
          <t>SAPH440</t>
        </is>
      </c>
      <c r="E6" s="5" t="n">
        <v>1250</v>
      </c>
      <c r="F6" s="5" t="n">
        <v>112</v>
      </c>
      <c r="G6" s="5" t="n">
        <v>5</v>
      </c>
      <c r="H6" s="5" t="n">
        <v>19</v>
      </c>
      <c r="I6" s="4" t="n"/>
      <c r="J6" s="4" t="n"/>
      <c r="K6" s="5" t="n">
        <v>7.85</v>
      </c>
      <c r="L6" s="4" t="n"/>
      <c r="M6" s="5" t="n">
        <v>214</v>
      </c>
      <c r="N6" s="4" t="n"/>
      <c r="O6" s="4" t="n"/>
      <c r="P6" s="4" t="inlineStr"/>
      <c r="Q6" s="4" t="inlineStr"/>
    </row>
    <row r="7">
      <c r="A7" s="4" t="inlineStr">
        <is>
          <t>N015</t>
        </is>
      </c>
      <c r="B7" s="4" t="inlineStr">
        <is>
          <t>41101B000112</t>
        </is>
      </c>
      <c r="C7" s="4" t="inlineStr">
        <is>
          <t>RM-SAPH440</t>
        </is>
      </c>
      <c r="D7" s="4" t="inlineStr">
        <is>
          <t>SAPH440</t>
        </is>
      </c>
      <c r="E7" s="4" t="n"/>
      <c r="F7" s="5" t="n">
        <v>100</v>
      </c>
      <c r="G7" s="5" t="n">
        <v>2.5</v>
      </c>
      <c r="H7" s="4" t="n"/>
      <c r="I7" s="5" t="n">
        <v>75</v>
      </c>
      <c r="J7" s="5" t="n">
        <v>1</v>
      </c>
      <c r="K7" s="5" t="n">
        <v>7.85</v>
      </c>
      <c r="L7" s="4" t="n"/>
      <c r="M7" s="5" t="n">
        <v>68</v>
      </c>
      <c r="N7" s="4" t="n"/>
      <c r="O7" s="4" t="n"/>
      <c r="P7" s="4" t="inlineStr"/>
      <c r="Q7" s="4" t="inlineStr">
        <is>
          <t>毛重未加头尾料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4" customWidth="1" min="4" max="4"/>
    <col width="22" customWidth="1" min="5" max="5"/>
    <col width="12" customWidth="1" min="6" max="6"/>
    <col width="8" customWidth="1" min="7" max="7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辅料编码</t>
        </is>
      </c>
      <c r="E1" s="3" t="inlineStr">
        <is>
          <t>规格型号</t>
        </is>
      </c>
      <c r="F1" s="3" t="inlineStr">
        <is>
          <t>消耗数量</t>
        </is>
      </c>
      <c r="G1" s="3" t="inlineStr">
        <is>
          <t>单位</t>
        </is>
      </c>
    </row>
    <row r="2">
      <c r="A2" s="4" t="inlineStr">
        <is>
          <t>N009-OP010</t>
        </is>
      </c>
      <c r="B2" s="4" t="inlineStr">
        <is>
          <t>N009</t>
        </is>
      </c>
      <c r="C2" s="4" t="inlineStr">
        <is>
          <t>44196B000003</t>
        </is>
      </c>
      <c r="D2" s="4" t="inlineStr">
        <is>
          <t>AUX-N009-OP010-01</t>
        </is>
      </c>
      <c r="E2" s="4" t="inlineStr">
        <is>
          <t>焊丝</t>
        </is>
      </c>
      <c r="F2" s="4" t="n"/>
      <c r="G2" s="4" t="inlineStr">
        <is>
          <t>EA</t>
        </is>
      </c>
    </row>
    <row r="3">
      <c r="A3" s="4" t="inlineStr">
        <is>
          <t>N009-OP010</t>
        </is>
      </c>
      <c r="B3" s="4" t="inlineStr">
        <is>
          <t>N009</t>
        </is>
      </c>
      <c r="C3" s="4" t="inlineStr">
        <is>
          <t>44196B000003</t>
        </is>
      </c>
      <c r="D3" s="4" t="inlineStr">
        <is>
          <t>AUX-N009-OP010-02</t>
        </is>
      </c>
      <c r="E3" s="4" t="inlineStr">
        <is>
          <t>保护气体</t>
        </is>
      </c>
      <c r="F3" s="4" t="n"/>
      <c r="G3" s="4" t="inlineStr">
        <is>
          <t>EA</t>
        </is>
      </c>
    </row>
    <row r="4">
      <c r="A4" s="4" t="inlineStr">
        <is>
          <t>N010-OP010</t>
        </is>
      </c>
      <c r="B4" s="4" t="inlineStr">
        <is>
          <t>N010</t>
        </is>
      </c>
      <c r="C4" s="4" t="inlineStr">
        <is>
          <t>44196B000002</t>
        </is>
      </c>
      <c r="D4" s="4" t="inlineStr">
        <is>
          <t>AUX-N010-OP010-01</t>
        </is>
      </c>
      <c r="E4" s="4" t="inlineStr">
        <is>
          <t>焊丝</t>
        </is>
      </c>
      <c r="F4" s="4" t="n"/>
      <c r="G4" s="4" t="inlineStr">
        <is>
          <t>EA</t>
        </is>
      </c>
    </row>
    <row r="5">
      <c r="A5" s="4" t="inlineStr">
        <is>
          <t>N010-OP010</t>
        </is>
      </c>
      <c r="B5" s="4" t="inlineStr">
        <is>
          <t>N010</t>
        </is>
      </c>
      <c r="C5" s="4" t="inlineStr">
        <is>
          <t>44196B000002</t>
        </is>
      </c>
      <c r="D5" s="4" t="inlineStr">
        <is>
          <t>AUX-N010-OP010-02</t>
        </is>
      </c>
      <c r="E5" s="4" t="inlineStr">
        <is>
          <t>保护气体</t>
        </is>
      </c>
      <c r="F5" s="4" t="n"/>
      <c r="G5" s="4" t="inlineStr">
        <is>
          <t>EA</t>
        </is>
      </c>
    </row>
    <row r="6">
      <c r="A6" s="4" t="inlineStr">
        <is>
          <t>N014-OP010</t>
        </is>
      </c>
      <c r="B6" s="4" t="inlineStr">
        <is>
          <t>N014</t>
        </is>
      </c>
      <c r="C6" s="4" t="inlineStr"/>
      <c r="D6" s="4" t="inlineStr">
        <is>
          <t>AUX-N014-OP010-01</t>
        </is>
      </c>
      <c r="E6" s="4" t="inlineStr">
        <is>
          <t>焊丝</t>
        </is>
      </c>
      <c r="F6" s="4" t="n"/>
      <c r="G6" s="4" t="inlineStr">
        <is>
          <t>EA</t>
        </is>
      </c>
    </row>
    <row r="7">
      <c r="A7" s="4" t="inlineStr">
        <is>
          <t>N014-OP010</t>
        </is>
      </c>
      <c r="B7" s="4" t="inlineStr">
        <is>
          <t>N014</t>
        </is>
      </c>
      <c r="C7" s="4" t="inlineStr"/>
      <c r="D7" s="4" t="inlineStr">
        <is>
          <t>AUX-N014-OP010-02</t>
        </is>
      </c>
      <c r="E7" s="4" t="inlineStr">
        <is>
          <t>保护气体</t>
        </is>
      </c>
      <c r="F7" s="4" t="n"/>
      <c r="G7" s="4" t="inlineStr">
        <is>
          <t>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4" customWidth="1" min="4" max="4"/>
    <col width="22" customWidth="1" min="5" max="5"/>
    <col width="8" customWidth="1" min="6" max="6"/>
    <col width="8" customWidth="1" min="7" max="7"/>
  </cols>
  <sheetData>
    <row r="1">
      <c r="A1" s="3" t="inlineStr">
        <is>
          <t>产品编码</t>
        </is>
      </c>
      <c r="B1" s="3" t="inlineStr">
        <is>
          <t>产品名称</t>
        </is>
      </c>
      <c r="C1" s="3" t="inlineStr">
        <is>
          <t>包装层级</t>
        </is>
      </c>
      <c r="D1" s="3" t="inlineStr">
        <is>
          <t>包装物料编码</t>
        </is>
      </c>
      <c r="E1" s="3" t="inlineStr">
        <is>
          <t>包装方式</t>
        </is>
      </c>
      <c r="F1" s="3" t="inlineStr">
        <is>
          <t>数量</t>
        </is>
      </c>
      <c r="G1" s="3" t="inlineStr">
        <is>
          <t>单位</t>
        </is>
      </c>
    </row>
    <row r="2">
      <c r="A2" s="4" t="inlineStr">
        <is>
          <t>7196B1000001</t>
        </is>
      </c>
      <c r="B2" s="4" t="inlineStr">
        <is>
          <t>制动踏板总成</t>
        </is>
      </c>
      <c r="C2" s="4" t="inlineStr">
        <is>
          <t>整托</t>
        </is>
      </c>
      <c r="D2" s="4" t="inlineStr">
        <is>
          <t>PK-PALLET</t>
        </is>
      </c>
      <c r="E2" s="4" t="inlineStr">
        <is>
          <t>整托包装</t>
        </is>
      </c>
      <c r="F2" s="5" t="n">
        <v>80</v>
      </c>
      <c r="G2" s="4" t="inlineStr">
        <is>
          <t>EA</t>
        </is>
      </c>
    </row>
    <row r="3">
      <c r="A3" s="4" t="inlineStr">
        <is>
          <t>7196B1000001</t>
        </is>
      </c>
      <c r="B3" s="4" t="inlineStr">
        <is>
          <t>制动踏板总成</t>
        </is>
      </c>
      <c r="C3" s="4" t="inlineStr">
        <is>
          <t>L1</t>
        </is>
      </c>
      <c r="D3" s="4" t="inlineStr">
        <is>
          <t>PK-气泡袋</t>
        </is>
      </c>
      <c r="E3" s="4" t="inlineStr">
        <is>
          <t>气泡袋</t>
        </is>
      </c>
      <c r="F3" s="5" t="n">
        <v>32</v>
      </c>
      <c r="G3" s="4" t="inlineStr">
        <is>
          <t>EA</t>
        </is>
      </c>
    </row>
    <row r="4">
      <c r="A4" s="4" t="inlineStr">
        <is>
          <t>7196B1000001</t>
        </is>
      </c>
      <c r="B4" s="4" t="inlineStr">
        <is>
          <t>制动踏板总成</t>
        </is>
      </c>
      <c r="C4" s="4" t="inlineStr">
        <is>
          <t>L2</t>
        </is>
      </c>
      <c r="D4" s="4" t="inlineStr">
        <is>
          <t>PK-纸隔板1</t>
        </is>
      </c>
      <c r="E4" s="4" t="inlineStr">
        <is>
          <t>纸隔板1</t>
        </is>
      </c>
      <c r="F4" s="5" t="n">
        <v>16</v>
      </c>
      <c r="G4" s="4" t="inlineStr">
        <is>
          <t>EA</t>
        </is>
      </c>
    </row>
    <row r="5">
      <c r="A5" s="4" t="inlineStr">
        <is>
          <t>7196B1000001</t>
        </is>
      </c>
      <c r="B5" s="4" t="inlineStr">
        <is>
          <t>制动踏板总成</t>
        </is>
      </c>
      <c r="C5" s="4" t="inlineStr">
        <is>
          <t>L3</t>
        </is>
      </c>
      <c r="D5" s="4" t="inlineStr">
        <is>
          <t>PK-纸隔板2</t>
        </is>
      </c>
      <c r="E5" s="4" t="inlineStr">
        <is>
          <t>纸隔板2</t>
        </is>
      </c>
      <c r="F5" s="5" t="n">
        <v>16</v>
      </c>
      <c r="G5" s="4" t="inlineStr">
        <is>
          <t>EA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22" customWidth="1" min="5" max="5"/>
    <col width="12" customWidth="1" min="6" max="6"/>
    <col width="14" customWidth="1" min="7" max="7"/>
    <col width="16" customWidth="1" min="8" max="8"/>
  </cols>
  <sheetData>
    <row r="1">
      <c r="A1" s="3" t="inlineStr">
        <is>
          <t>Node ID</t>
        </is>
      </c>
      <c r="B1" s="3" t="inlineStr">
        <is>
          <t>物料编码</t>
        </is>
      </c>
      <c r="C1" s="3" t="inlineStr">
        <is>
          <t>物料名称</t>
        </is>
      </c>
      <c r="D1" s="3" t="inlineStr">
        <is>
          <t>中转序号</t>
        </is>
      </c>
      <c r="E1" s="3" t="inlineStr">
        <is>
          <t>对应工序（弱关联）</t>
        </is>
      </c>
      <c r="F1" s="3" t="inlineStr">
        <is>
          <t>中转库存天数</t>
        </is>
      </c>
      <c r="G1" s="3" t="inlineStr">
        <is>
          <t>策略（自动补）</t>
        </is>
      </c>
      <c r="H1" s="3" t="inlineStr">
        <is>
          <t>生产提前期天（自动补）</t>
        </is>
      </c>
    </row>
    <row r="2">
      <c r="A2" s="4" t="inlineStr">
        <is>
          <t>N001</t>
        </is>
      </c>
      <c r="B2" s="4" t="inlineStr">
        <is>
          <t>7196B1000001</t>
        </is>
      </c>
      <c r="C2" s="4" t="inlineStr">
        <is>
          <t>制动踏板总成</t>
        </is>
      </c>
      <c r="D2" s="5" t="n">
        <v>1</v>
      </c>
      <c r="E2" s="4" t="inlineStr">
        <is>
          <t>N001-OP010</t>
        </is>
      </c>
      <c r="F2" s="5" t="n">
        <v>2</v>
      </c>
      <c r="G2" s="4" t="inlineStr">
        <is>
          <t>工序间库存</t>
        </is>
      </c>
      <c r="H2" s="5" t="n">
        <v>2</v>
      </c>
    </row>
    <row r="3">
      <c r="A3" s="4" t="inlineStr">
        <is>
          <t>N002</t>
        </is>
      </c>
      <c r="B3" s="4" t="inlineStr">
        <is>
          <t>69F196B00002</t>
        </is>
      </c>
      <c r="C3" s="4" t="inlineStr">
        <is>
          <t>主支架</t>
        </is>
      </c>
      <c r="D3" s="5" t="n">
        <v>2</v>
      </c>
      <c r="E3" s="4" t="inlineStr">
        <is>
          <t>N002-OP020</t>
        </is>
      </c>
      <c r="F3" s="5" t="n">
        <v>2</v>
      </c>
      <c r="G3" s="4" t="inlineStr">
        <is>
          <t>工序间库存</t>
        </is>
      </c>
      <c r="H3" s="5" t="n">
        <v>2</v>
      </c>
    </row>
    <row r="4">
      <c r="A4" s="4" t="inlineStr">
        <is>
          <t>N006</t>
        </is>
      </c>
      <c r="B4" s="4" t="inlineStr">
        <is>
          <t>69F196B00003</t>
        </is>
      </c>
      <c r="C4" s="4" t="inlineStr">
        <is>
          <t>踏板罩</t>
        </is>
      </c>
      <c r="D4" s="5" t="n">
        <v>2</v>
      </c>
      <c r="E4" s="4" t="inlineStr">
        <is>
          <t>N006-OP020</t>
        </is>
      </c>
      <c r="F4" s="5" t="n">
        <v>2</v>
      </c>
      <c r="G4" s="4" t="inlineStr">
        <is>
          <t>工序间库存</t>
        </is>
      </c>
      <c r="H4" s="5" t="n">
        <v>2</v>
      </c>
    </row>
    <row r="5">
      <c r="A5" s="4" t="inlineStr">
        <is>
          <t>N007</t>
        </is>
      </c>
      <c r="B5" s="4" t="inlineStr">
        <is>
          <t>604400000004</t>
        </is>
      </c>
      <c r="C5" s="4" t="inlineStr">
        <is>
          <t>球窝支架</t>
        </is>
      </c>
      <c r="D5" s="5" t="n">
        <v>2</v>
      </c>
      <c r="E5" s="4" t="inlineStr">
        <is>
          <t>N007-OP020</t>
        </is>
      </c>
      <c r="F5" s="5" t="n">
        <v>2</v>
      </c>
      <c r="G5" s="4" t="inlineStr">
        <is>
          <t>工序间库存</t>
        </is>
      </c>
      <c r="H5" s="5" t="n">
        <v>2</v>
      </c>
    </row>
    <row r="6">
      <c r="A6" s="4" t="inlineStr">
        <is>
          <t>N008</t>
        </is>
      </c>
      <c r="B6" s="4" t="inlineStr">
        <is>
          <t>48196B000001</t>
        </is>
      </c>
      <c r="C6" s="4" t="inlineStr">
        <is>
          <t>踏板臂组件</t>
        </is>
      </c>
      <c r="D6" s="5" t="n">
        <v>2</v>
      </c>
      <c r="E6" s="4" t="inlineStr">
        <is>
          <t>N008-OP020</t>
        </is>
      </c>
      <c r="F6" s="5" t="n">
        <v>1</v>
      </c>
      <c r="G6" s="4" t="inlineStr">
        <is>
          <t>工序间库存</t>
        </is>
      </c>
      <c r="H6" s="5" t="n">
        <v>1</v>
      </c>
    </row>
    <row r="7">
      <c r="A7" s="4" t="inlineStr">
        <is>
          <t>N009</t>
        </is>
      </c>
      <c r="B7" s="4" t="inlineStr">
        <is>
          <t>44196B000003</t>
        </is>
      </c>
      <c r="C7" s="4" t="inlineStr">
        <is>
          <t>踏板臂焊接组件</t>
        </is>
      </c>
      <c r="D7" s="5" t="n">
        <v>3</v>
      </c>
      <c r="E7" s="4" t="inlineStr">
        <is>
          <t>N009-OP030</t>
        </is>
      </c>
      <c r="F7" s="5" t="n">
        <v>2</v>
      </c>
      <c r="G7" s="4" t="inlineStr">
        <is>
          <t>工序间库存</t>
        </is>
      </c>
      <c r="H7" s="5" t="n">
        <v>2</v>
      </c>
    </row>
    <row r="8">
      <c r="A8" s="4" t="inlineStr">
        <is>
          <t>N010</t>
        </is>
      </c>
      <c r="B8" s="4" t="inlineStr">
        <is>
          <t>44196B000002</t>
        </is>
      </c>
      <c r="C8" s="4" t="inlineStr">
        <is>
          <t>空心踏板臂组件</t>
        </is>
      </c>
      <c r="D8" s="5" t="n">
        <v>4</v>
      </c>
      <c r="E8" s="4" t="inlineStr">
        <is>
          <t>N010-OP040</t>
        </is>
      </c>
      <c r="F8" s="5" t="n">
        <v>2</v>
      </c>
      <c r="G8" s="4" t="inlineStr">
        <is>
          <t>工序间库存</t>
        </is>
      </c>
      <c r="H8" s="5" t="n">
        <v>2</v>
      </c>
    </row>
    <row r="9">
      <c r="A9" s="4" t="inlineStr">
        <is>
          <t>N011</t>
        </is>
      </c>
      <c r="B9" s="4" t="inlineStr">
        <is>
          <t>41196B000002</t>
        </is>
      </c>
      <c r="C9" s="4" t="inlineStr">
        <is>
          <t>空心踏板臂-左</t>
        </is>
      </c>
      <c r="D9" s="5" t="n">
        <v>5</v>
      </c>
      <c r="E9" s="4" t="inlineStr">
        <is>
          <t>N011-OP050</t>
        </is>
      </c>
      <c r="F9" s="5" t="n">
        <v>2</v>
      </c>
      <c r="G9" s="4" t="inlineStr">
        <is>
          <t>工序间库存</t>
        </is>
      </c>
      <c r="H9" s="5" t="n">
        <v>2</v>
      </c>
    </row>
    <row r="10">
      <c r="A10" s="4" t="inlineStr">
        <is>
          <t>N013</t>
        </is>
      </c>
      <c r="B10" s="4" t="inlineStr">
        <is>
          <t>41196B000001</t>
        </is>
      </c>
      <c r="C10" s="4" t="inlineStr">
        <is>
          <t>踏板片</t>
        </is>
      </c>
      <c r="D10" s="5" t="n">
        <v>4</v>
      </c>
      <c r="E10" s="4" t="inlineStr">
        <is>
          <t>N013-OP040</t>
        </is>
      </c>
      <c r="F10" s="5" t="n">
        <v>2</v>
      </c>
      <c r="G10" s="4" t="inlineStr">
        <is>
          <t>工序间库存</t>
        </is>
      </c>
      <c r="H10" s="5" t="n">
        <v>2</v>
      </c>
    </row>
    <row r="11">
      <c r="A11" s="4" t="inlineStr">
        <is>
          <t>N014</t>
        </is>
      </c>
      <c r="B11" s="4" t="inlineStr"/>
      <c r="C11" s="4" t="inlineStr">
        <is>
          <t>球窝罩壳-焊接</t>
        </is>
      </c>
      <c r="D11" s="5" t="n">
        <v>4</v>
      </c>
      <c r="E11" s="4" t="inlineStr">
        <is>
          <t>N014-OP040</t>
        </is>
      </c>
      <c r="F11" s="5" t="n">
        <v>2</v>
      </c>
      <c r="G11" s="4" t="inlineStr">
        <is>
          <t>工序间库存</t>
        </is>
      </c>
      <c r="H11" s="5" t="n">
        <v>2</v>
      </c>
    </row>
    <row r="12">
      <c r="A12" s="4" t="inlineStr">
        <is>
          <t>N015</t>
        </is>
      </c>
      <c r="B12" s="4" t="inlineStr">
        <is>
          <t>41101B000112</t>
        </is>
      </c>
      <c r="C12" s="4" t="inlineStr">
        <is>
          <t>球窝罩壳</t>
        </is>
      </c>
      <c r="D12" s="5" t="n">
        <v>5</v>
      </c>
      <c r="E12" s="4" t="inlineStr">
        <is>
          <t>N015-OP050</t>
        </is>
      </c>
      <c r="F12" s="5" t="n">
        <v>2</v>
      </c>
      <c r="G12" s="4" t="inlineStr">
        <is>
          <t>工序间库存</t>
        </is>
      </c>
      <c r="H12" s="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6" t="n"/>
      <c r="B1" s="6" t="inlineStr">
        <is>
          <t>层级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inlineStr">
        <is>
          <t>中转（库存）天数</t>
        </is>
      </c>
      <c r="AA1" s="6" t="n"/>
      <c r="AB1" s="6" t="n"/>
      <c r="AC1" s="6" t="n"/>
      <c r="AD1" s="6" t="n"/>
      <c r="AE1" s="6" t="inlineStr">
        <is>
          <t>发货日前多少天生产</t>
        </is>
      </c>
      <c r="AF1" s="6" t="n"/>
      <c r="AG1" s="6" t="n"/>
      <c r="AH1" s="6" t="inlineStr">
        <is>
          <t>原材料尺寸</t>
        </is>
      </c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inlineStr">
        <is>
          <t>耗材</t>
        </is>
      </c>
      <c r="AT1" s="6" t="n"/>
      <c r="AU1" s="6" t="n"/>
      <c r="AV1" s="6" t="n"/>
      <c r="AW1" s="6" t="inlineStr">
        <is>
          <t>整托包装（一次性包材）</t>
        </is>
      </c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</row>
    <row r="2">
      <c r="A2" s="6" t="inlineStr">
        <is>
          <t>序号</t>
        </is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/>
      <c r="H2" s="6" t="inlineStr">
        <is>
          <t>物料号</t>
        </is>
      </c>
      <c r="I2" s="6" t="inlineStr">
        <is>
          <t>版本</t>
        </is>
      </c>
      <c r="J2" s="6" t="inlineStr">
        <is>
          <t>产品名称</t>
        </is>
      </c>
      <c r="K2" s="6" t="inlineStr">
        <is>
          <t>单耗</t>
        </is>
      </c>
      <c r="L2" s="6" t="inlineStr">
        <is>
          <t>自制/外购/外协</t>
        </is>
      </c>
      <c r="M2" s="6" t="inlineStr">
        <is>
          <t>加工工艺</t>
        </is>
      </c>
      <c r="N2" s="6" t="inlineStr">
        <is>
          <t>工艺号</t>
        </is>
      </c>
      <c r="O2" s="6" t="inlineStr">
        <is>
          <t>工序</t>
        </is>
      </c>
      <c r="P2" s="6" t="inlineStr">
        <is>
          <t>设备</t>
        </is>
      </c>
      <c r="Q2" s="6" t="inlineStr">
        <is>
          <t>操作工人数</t>
        </is>
      </c>
      <c r="R2" s="6" t="inlineStr">
        <is>
          <t>单次加工时间 s</t>
        </is>
      </c>
      <c r="S2" s="6" t="inlineStr">
        <is>
          <t>单次出件数量</t>
        </is>
      </c>
      <c r="T2" s="6" t="inlineStr">
        <is>
          <t>节拍
s</t>
        </is>
      </c>
      <c r="U2" s="6" t="inlineStr">
        <is>
          <t>理论OEE</t>
        </is>
      </c>
      <c r="V2" s="6" t="inlineStr">
        <is>
          <t>小时出件数</t>
        </is>
      </c>
      <c r="W2" s="6" t="inlineStr">
        <is>
          <t>产线数量</t>
        </is>
      </c>
      <c r="X2" s="6" t="inlineStr">
        <is>
          <t>小时/天</t>
        </is>
      </c>
      <c r="Y2" s="6" t="inlineStr">
        <is>
          <t>日产能</t>
        </is>
      </c>
      <c r="Z2" s="6" t="n">
        <v>1</v>
      </c>
      <c r="AA2" s="6" t="n">
        <v>2</v>
      </c>
      <c r="AB2" s="6" t="n">
        <v>3</v>
      </c>
      <c r="AC2" s="6" t="n">
        <v>4</v>
      </c>
      <c r="AD2" s="6" t="n">
        <v>5</v>
      </c>
      <c r="AE2" s="6" t="n"/>
      <c r="AF2" s="6" t="inlineStr">
        <is>
          <t>基地</t>
        </is>
      </c>
      <c r="AG2" s="6" t="inlineStr">
        <is>
          <t>原材料材质</t>
        </is>
      </c>
      <c r="AH2" s="6" t="inlineStr">
        <is>
          <t>长
mm</t>
        </is>
      </c>
      <c r="AI2" s="6" t="inlineStr">
        <is>
          <t>宽
mm</t>
        </is>
      </c>
      <c r="AJ2" s="6" t="inlineStr">
        <is>
          <t>厚度
mm</t>
        </is>
      </c>
      <c r="AK2" s="6" t="inlineStr">
        <is>
          <t>料片出件数量</t>
        </is>
      </c>
      <c r="AL2" s="6" t="inlineStr">
        <is>
          <t>步进</t>
        </is>
      </c>
      <c r="AM2" s="6" t="inlineStr">
        <is>
          <t>每次步进出件</t>
        </is>
      </c>
      <c r="AN2" s="6" t="inlineStr">
        <is>
          <t>材料密度
g/cm3</t>
        </is>
      </c>
      <c r="AO2" s="6" t="inlineStr">
        <is>
          <t>单件毛重
g</t>
        </is>
      </c>
      <c r="AP2" s="6" t="inlineStr">
        <is>
          <t>理论重量
g</t>
        </is>
      </c>
      <c r="AQ2" s="6" t="inlineStr">
        <is>
          <t>单件净重
g</t>
        </is>
      </c>
      <c r="AR2" s="6" t="inlineStr">
        <is>
          <t>表面处理</t>
        </is>
      </c>
      <c r="AS2" s="6" t="inlineStr">
        <is>
          <t>耗材1规格型号</t>
        </is>
      </c>
      <c r="AT2" s="6" t="inlineStr">
        <is>
          <t>耗材1消耗数量</t>
        </is>
      </c>
      <c r="AU2" s="6" t="inlineStr">
        <is>
          <t>耗材2规格型号</t>
        </is>
      </c>
      <c r="AV2" s="6" t="inlineStr">
        <is>
          <t>耗材2消耗数量</t>
        </is>
      </c>
      <c r="AW2" s="6" t="inlineStr">
        <is>
          <t>整托包装数</t>
        </is>
      </c>
      <c r="AX2" s="6" t="inlineStr">
        <is>
          <t>包材1规格型号</t>
        </is>
      </c>
      <c r="AY2" s="6" t="inlineStr">
        <is>
          <t>包材1消耗数量</t>
        </is>
      </c>
      <c r="AZ2" s="6" t="inlineStr">
        <is>
          <t>包材2规格型号</t>
        </is>
      </c>
      <c r="BA2" s="6" t="inlineStr">
        <is>
          <t>包材2消耗数量</t>
        </is>
      </c>
      <c r="BB2" s="6" t="inlineStr">
        <is>
          <t>包材3规格型号</t>
        </is>
      </c>
      <c r="BC2" s="6" t="inlineStr">
        <is>
          <t>包材3消耗数量</t>
        </is>
      </c>
      <c r="BD2" s="6" t="inlineStr">
        <is>
          <t>包材4规格型号</t>
        </is>
      </c>
      <c r="BE2" s="6" t="inlineStr">
        <is>
          <t>包材4消耗数量</t>
        </is>
      </c>
      <c r="BF2" s="6" t="inlineStr">
        <is>
          <t>包材5规格型号</t>
        </is>
      </c>
      <c r="BG2" s="6" t="inlineStr">
        <is>
          <t>包材5消耗数量</t>
        </is>
      </c>
      <c r="BH2" s="6" t="inlineStr">
        <is>
          <t>备注</t>
        </is>
      </c>
    </row>
    <row r="3">
      <c r="A3" t="n">
        <v>1</v>
      </c>
      <c r="B3" t="n">
        <v>1</v>
      </c>
      <c r="H3" t="inlineStr">
        <is>
          <t>7196B1000001</t>
        </is>
      </c>
      <c r="I3" t="inlineStr">
        <is>
          <t>链接EBOM</t>
        </is>
      </c>
      <c r="J3" t="inlineStr">
        <is>
          <t>制动踏板总成</t>
        </is>
      </c>
      <c r="L3" t="inlineStr">
        <is>
          <t>自制</t>
        </is>
      </c>
      <c r="M3" t="inlineStr">
        <is>
          <t>组装</t>
        </is>
      </c>
      <c r="O3" t="inlineStr">
        <is>
          <t>总成组装</t>
        </is>
      </c>
      <c r="P3" t="inlineStr">
        <is>
          <t>组装生产线</t>
        </is>
      </c>
      <c r="Q3" t="n">
        <v>4</v>
      </c>
      <c r="R3" t="n">
        <v>45</v>
      </c>
      <c r="S3" t="n">
        <v>1</v>
      </c>
      <c r="T3">
        <f>R3/S3</f>
        <v/>
      </c>
      <c r="U3" t="n">
        <v>0.85</v>
      </c>
      <c r="V3">
        <f>3600*U3/T3</f>
        <v/>
      </c>
      <c r="W3" t="n">
        <v>1</v>
      </c>
      <c r="X3" t="n">
        <v>20</v>
      </c>
      <c r="Y3">
        <f>V3*W3*X3</f>
        <v/>
      </c>
      <c r="Z3" t="n">
        <v>2</v>
      </c>
      <c r="AE3">
        <f>Z3</f>
        <v/>
      </c>
      <c r="AG3" t="inlineStr">
        <is>
          <t>/</t>
        </is>
      </c>
      <c r="AW3" t="n">
        <v>80</v>
      </c>
      <c r="AX3" t="inlineStr">
        <is>
          <t xml:space="preserve">气泡袋
</t>
        </is>
      </c>
      <c r="AY3" t="n">
        <v>32</v>
      </c>
      <c r="AZ3" t="inlineStr">
        <is>
          <t xml:space="preserve">纸隔板1
</t>
        </is>
      </c>
      <c r="BA3" t="n">
        <v>16</v>
      </c>
      <c r="BB3" t="inlineStr">
        <is>
          <t xml:space="preserve">纸隔板2
</t>
        </is>
      </c>
      <c r="BC3" t="n">
        <v>16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2</v>
      </c>
      <c r="C4" t="n">
        <v>1.1</v>
      </c>
      <c r="H4" t="inlineStr">
        <is>
          <t>69F196B00002</t>
        </is>
      </c>
      <c r="I4" t="inlineStr">
        <is>
          <t>链接EBOM</t>
        </is>
      </c>
      <c r="J4" t="inlineStr">
        <is>
          <t>主支架</t>
        </is>
      </c>
      <c r="K4" t="n">
        <v>1</v>
      </c>
      <c r="L4" t="inlineStr">
        <is>
          <t>自制</t>
        </is>
      </c>
      <c r="M4" t="inlineStr">
        <is>
          <t>注塑</t>
        </is>
      </c>
      <c r="O4" t="inlineStr">
        <is>
          <t>注塑</t>
        </is>
      </c>
      <c r="P4" t="inlineStr">
        <is>
          <t>MA3800Ⅲ</t>
        </is>
      </c>
      <c r="Q4" t="n">
        <v>1</v>
      </c>
      <c r="R4" t="n">
        <v>98</v>
      </c>
      <c r="S4" t="n">
        <v>2</v>
      </c>
      <c r="T4">
        <f>R4/S4</f>
        <v/>
      </c>
      <c r="U4" t="n">
        <v>0.95</v>
      </c>
      <c r="V4">
        <f>3600*U4/T4</f>
        <v/>
      </c>
      <c r="W4" t="n">
        <v>1</v>
      </c>
      <c r="X4" t="n">
        <v>22</v>
      </c>
      <c r="Y4">
        <f>V4*W4*X4</f>
        <v/>
      </c>
      <c r="AA4" t="n">
        <v>2</v>
      </c>
      <c r="AE4">
        <f>Z3+AA4</f>
        <v/>
      </c>
      <c r="AG4" t="inlineStr">
        <is>
          <t>PP+GF40(P708BK)</t>
        </is>
      </c>
      <c r="AP4" t="n">
        <v>324</v>
      </c>
    </row>
    <row r="5">
      <c r="A5" t="n">
        <v>3</v>
      </c>
      <c r="D5" t="inlineStr">
        <is>
          <t>1.1.1</t>
        </is>
      </c>
      <c r="H5" t="inlineStr">
        <is>
          <t>5B9900000046</t>
        </is>
      </c>
      <c r="I5" t="inlineStr">
        <is>
          <t>链接EBOM</t>
        </is>
      </c>
      <c r="J5" t="inlineStr">
        <is>
          <t>底部金属衬套-小</t>
        </is>
      </c>
      <c r="K5" t="n">
        <v>1</v>
      </c>
      <c r="L5" t="inlineStr">
        <is>
          <t>外购</t>
        </is>
      </c>
      <c r="M5" t="inlineStr">
        <is>
          <t>/</t>
        </is>
      </c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>
        <is>
          <t>/</t>
        </is>
      </c>
      <c r="S5" t="inlineStr">
        <is>
          <t>/</t>
        </is>
      </c>
    </row>
    <row r="6">
      <c r="A6" t="n">
        <v>4</v>
      </c>
      <c r="D6" t="inlineStr">
        <is>
          <t>1.1.2</t>
        </is>
      </c>
      <c r="H6" t="inlineStr">
        <is>
          <t>5B9900000044</t>
        </is>
      </c>
      <c r="I6" t="inlineStr">
        <is>
          <t>链接EBOM</t>
        </is>
      </c>
      <c r="J6" t="inlineStr">
        <is>
          <t>底部金属衬套-长</t>
        </is>
      </c>
      <c r="K6" t="n">
        <v>1</v>
      </c>
      <c r="L6" t="inlineStr">
        <is>
          <t>外购</t>
        </is>
      </c>
      <c r="M6" t="inlineStr">
        <is>
          <t>/</t>
        </is>
      </c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>
        <is>
          <t>/</t>
        </is>
      </c>
      <c r="S6" t="inlineStr">
        <is>
          <t>/</t>
        </is>
      </c>
    </row>
    <row r="7">
      <c r="A7" t="n">
        <v>5</v>
      </c>
      <c r="D7" t="inlineStr">
        <is>
          <t>1.1.3</t>
        </is>
      </c>
      <c r="H7" t="inlineStr">
        <is>
          <t>5B9900000045</t>
        </is>
      </c>
      <c r="I7" t="inlineStr">
        <is>
          <t>链接EBOM</t>
        </is>
      </c>
      <c r="J7" t="inlineStr">
        <is>
          <t>底部金属衬套-大</t>
        </is>
      </c>
      <c r="K7" t="n">
        <v>2</v>
      </c>
      <c r="L7" t="inlineStr">
        <is>
          <t>外购</t>
        </is>
      </c>
      <c r="M7" t="inlineStr">
        <is>
          <t>/</t>
        </is>
      </c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>
        <is>
          <t>/</t>
        </is>
      </c>
      <c r="S7" t="inlineStr">
        <is>
          <t>/</t>
        </is>
      </c>
    </row>
    <row r="8">
      <c r="A8" t="n">
        <v>6</v>
      </c>
      <c r="C8" t="n">
        <v>1.2</v>
      </c>
      <c r="H8" t="inlineStr">
        <is>
          <t>69F196B00003</t>
        </is>
      </c>
      <c r="I8" t="inlineStr">
        <is>
          <t>链接EBOM</t>
        </is>
      </c>
      <c r="J8" t="inlineStr">
        <is>
          <t>踏板罩</t>
        </is>
      </c>
      <c r="K8" t="n">
        <v>1</v>
      </c>
      <c r="L8" t="inlineStr">
        <is>
          <t>自制</t>
        </is>
      </c>
      <c r="M8" t="inlineStr">
        <is>
          <t>注塑</t>
        </is>
      </c>
      <c r="O8" t="inlineStr">
        <is>
          <t>注塑</t>
        </is>
      </c>
      <c r="P8" t="inlineStr">
        <is>
          <t>MA1600Ⅲ</t>
        </is>
      </c>
      <c r="Q8" t="n">
        <v>1</v>
      </c>
      <c r="R8" t="n">
        <v>45</v>
      </c>
      <c r="S8" t="n">
        <v>2</v>
      </c>
      <c r="T8">
        <f>R8/S8</f>
        <v/>
      </c>
      <c r="U8" t="n">
        <v>0.95</v>
      </c>
      <c r="V8">
        <f>3600*U8/T8</f>
        <v/>
      </c>
      <c r="W8" t="n">
        <v>1</v>
      </c>
      <c r="X8" t="n">
        <v>22</v>
      </c>
      <c r="Y8">
        <f>V8*W8*X8</f>
        <v/>
      </c>
      <c r="AA8" t="n">
        <v>2</v>
      </c>
      <c r="AE8">
        <f>Z3+AA8</f>
        <v/>
      </c>
      <c r="AG8" t="inlineStr">
        <is>
          <t>PVC A165162
(星钻黑）</t>
        </is>
      </c>
      <c r="AP8" t="n">
        <v>56</v>
      </c>
    </row>
    <row r="9">
      <c r="A9" t="n">
        <v>7</v>
      </c>
      <c r="C9" t="n">
        <v>1.3</v>
      </c>
      <c r="H9" t="inlineStr">
        <is>
          <t>604400000004</t>
        </is>
      </c>
      <c r="I9" t="inlineStr">
        <is>
          <t>链接EBOM</t>
        </is>
      </c>
      <c r="J9" t="inlineStr">
        <is>
          <t>球窝支架</t>
        </is>
      </c>
      <c r="K9" t="n">
        <v>1</v>
      </c>
      <c r="L9" t="inlineStr">
        <is>
          <t>自制</t>
        </is>
      </c>
      <c r="M9" t="inlineStr">
        <is>
          <t>注塑</t>
        </is>
      </c>
      <c r="O9" t="inlineStr">
        <is>
          <t>注塑</t>
        </is>
      </c>
      <c r="P9" t="inlineStr">
        <is>
          <t>MA1600Ⅲ</t>
        </is>
      </c>
      <c r="Q9" t="n">
        <v>1</v>
      </c>
      <c r="R9" t="n">
        <v>46</v>
      </c>
      <c r="S9" t="n">
        <v>2</v>
      </c>
      <c r="T9">
        <f>R9/S9</f>
        <v/>
      </c>
      <c r="U9" t="n">
        <v>0.95</v>
      </c>
      <c r="V9">
        <f>3600*U9/T9</f>
        <v/>
      </c>
      <c r="W9" t="n">
        <v>1</v>
      </c>
      <c r="X9" t="n">
        <v>22</v>
      </c>
      <c r="Y9">
        <f>V9*W9*X9</f>
        <v/>
      </c>
      <c r="AA9" t="n">
        <v>2</v>
      </c>
      <c r="AE9">
        <f>Z3+AA9</f>
        <v/>
      </c>
      <c r="AG9" t="inlineStr">
        <is>
          <t>POM M25-44
Q/MAM 4106</t>
        </is>
      </c>
      <c r="AP9" t="n">
        <v>10</v>
      </c>
    </row>
    <row r="10">
      <c r="A10" t="n">
        <v>8</v>
      </c>
      <c r="C10" t="n">
        <v>1.4</v>
      </c>
      <c r="H10" t="inlineStr">
        <is>
          <t>48196B000001</t>
        </is>
      </c>
      <c r="I10" t="inlineStr">
        <is>
          <t>链接EBOM</t>
        </is>
      </c>
      <c r="J10" t="inlineStr">
        <is>
          <t>踏板臂组件</t>
        </is>
      </c>
      <c r="K10" t="n">
        <v>1</v>
      </c>
      <c r="L10" t="inlineStr">
        <is>
          <t>外协</t>
        </is>
      </c>
      <c r="M10" t="inlineStr">
        <is>
          <t>电泳</t>
        </is>
      </c>
      <c r="O10" t="inlineStr">
        <is>
          <t>电泳</t>
        </is>
      </c>
      <c r="P10" t="inlineStr">
        <is>
          <t>委外</t>
        </is>
      </c>
      <c r="Q10" t="inlineStr">
        <is>
          <t>/</t>
        </is>
      </c>
      <c r="R10" t="inlineStr">
        <is>
          <t>/</t>
        </is>
      </c>
      <c r="S10" t="inlineStr">
        <is>
          <t>/</t>
        </is>
      </c>
      <c r="AA10" t="n">
        <v>1</v>
      </c>
      <c r="AE10">
        <f>Z3+AA10</f>
        <v/>
      </c>
      <c r="AG10" t="inlineStr">
        <is>
          <t>/</t>
        </is>
      </c>
      <c r="AR10" t="inlineStr">
        <is>
          <t>阴极电泳膜厚≥12um，中性盐雾96小时无红锈</t>
        </is>
      </c>
    </row>
    <row r="11">
      <c r="A11" t="n">
        <v>9</v>
      </c>
      <c r="D11" t="inlineStr">
        <is>
          <t>1.4.1</t>
        </is>
      </c>
      <c r="H11" t="inlineStr">
        <is>
          <t>44196B000003</t>
        </is>
      </c>
      <c r="I11" t="inlineStr">
        <is>
          <t>链接EBOM</t>
        </is>
      </c>
      <c r="J11" t="inlineStr">
        <is>
          <t>踏板臂焊接组件</t>
        </is>
      </c>
      <c r="K11" t="n">
        <v>1</v>
      </c>
      <c r="L11" t="inlineStr">
        <is>
          <t>自制</t>
        </is>
      </c>
      <c r="M11" t="inlineStr">
        <is>
          <t>焊接</t>
        </is>
      </c>
      <c r="O11" t="inlineStr">
        <is>
          <t>保护焊</t>
        </is>
      </c>
      <c r="P11" t="inlineStr">
        <is>
          <t>MA1440</t>
        </is>
      </c>
      <c r="Q11" t="n">
        <v>1</v>
      </c>
      <c r="R11" t="n">
        <v>72</v>
      </c>
      <c r="S11" t="n">
        <v>1</v>
      </c>
      <c r="T11">
        <f>R11/S11</f>
        <v/>
      </c>
      <c r="U11" t="n">
        <v>0.85</v>
      </c>
      <c r="V11">
        <f>3600*U11/T11</f>
        <v/>
      </c>
      <c r="W11" t="n">
        <v>2</v>
      </c>
      <c r="X11" t="n">
        <v>20</v>
      </c>
      <c r="Y11">
        <f>V11*W11*X11</f>
        <v/>
      </c>
      <c r="AB11" t="n">
        <v>2</v>
      </c>
      <c r="AE11">
        <f>AE10+AB11</f>
        <v/>
      </c>
      <c r="AG11" t="inlineStr">
        <is>
          <t>/</t>
        </is>
      </c>
      <c r="AS11" t="inlineStr">
        <is>
          <t>焊丝</t>
        </is>
      </c>
      <c r="AU11" t="inlineStr">
        <is>
          <t>保护气体</t>
        </is>
      </c>
    </row>
    <row r="12">
      <c r="A12" t="n">
        <v>10</v>
      </c>
      <c r="E12" t="inlineStr">
        <is>
          <t>1.4.1.1</t>
        </is>
      </c>
      <c r="H12" t="inlineStr">
        <is>
          <t>44196B000002</t>
        </is>
      </c>
      <c r="I12" t="inlineStr">
        <is>
          <t>链接EBOM</t>
        </is>
      </c>
      <c r="J12" t="inlineStr">
        <is>
          <t>空心踏板臂组件</t>
        </is>
      </c>
      <c r="K12" t="n">
        <v>1</v>
      </c>
      <c r="L12" t="inlineStr">
        <is>
          <t>自制</t>
        </is>
      </c>
      <c r="M12" t="inlineStr">
        <is>
          <t>焊接</t>
        </is>
      </c>
      <c r="O12" t="inlineStr">
        <is>
          <t>保护焊</t>
        </is>
      </c>
      <c r="P12" t="inlineStr">
        <is>
          <t>MA1440</t>
        </is>
      </c>
      <c r="Q12" t="n">
        <v>1</v>
      </c>
      <c r="R12" t="n">
        <v>102</v>
      </c>
      <c r="S12" t="n">
        <v>1</v>
      </c>
      <c r="T12">
        <f>R12/S12</f>
        <v/>
      </c>
      <c r="U12" t="n">
        <v>0.85</v>
      </c>
      <c r="V12">
        <f>3600*U12/T12</f>
        <v/>
      </c>
      <c r="W12" t="n">
        <v>3</v>
      </c>
      <c r="X12" t="n">
        <v>20</v>
      </c>
      <c r="Y12">
        <f>V12*W12*X12</f>
        <v/>
      </c>
      <c r="AC12" t="n">
        <v>2</v>
      </c>
      <c r="AE12">
        <f>AE11+AC12</f>
        <v/>
      </c>
      <c r="AG12" t="inlineStr">
        <is>
          <t>/</t>
        </is>
      </c>
      <c r="AS12" t="inlineStr">
        <is>
          <t>焊丝</t>
        </is>
      </c>
      <c r="AU12" t="inlineStr">
        <is>
          <t>保护气体</t>
        </is>
      </c>
    </row>
    <row r="13">
      <c r="A13" t="n">
        <v>11</v>
      </c>
      <c r="F13" t="inlineStr">
        <is>
          <t>1.4.1.1.1</t>
        </is>
      </c>
      <c r="H13" t="inlineStr">
        <is>
          <t>41196B000002</t>
        </is>
      </c>
      <c r="I13" t="inlineStr">
        <is>
          <t>链接EBOM</t>
        </is>
      </c>
      <c r="J13" t="inlineStr">
        <is>
          <t>空心踏板臂-左</t>
        </is>
      </c>
      <c r="K13" t="n">
        <v>1</v>
      </c>
      <c r="L13" t="inlineStr">
        <is>
          <t>自制</t>
        </is>
      </c>
      <c r="M13" t="inlineStr">
        <is>
          <t>冲压</t>
        </is>
      </c>
      <c r="N13" t="inlineStr">
        <is>
          <t>OP10</t>
        </is>
      </c>
      <c r="O13" t="inlineStr">
        <is>
          <t>落料</t>
        </is>
      </c>
      <c r="P13" t="inlineStr">
        <is>
          <t>JH21-250</t>
        </is>
      </c>
      <c r="Q13" t="n">
        <v>1</v>
      </c>
      <c r="R13" t="n">
        <v>6</v>
      </c>
      <c r="S13" t="n">
        <v>1</v>
      </c>
      <c r="T13">
        <f>R13/S13</f>
        <v/>
      </c>
      <c r="U13" t="n">
        <v>0.85</v>
      </c>
      <c r="V13">
        <f>3600*U13/T13</f>
        <v/>
      </c>
      <c r="W13" t="n">
        <v>1</v>
      </c>
      <c r="X13" t="n">
        <v>20</v>
      </c>
      <c r="Y13">
        <f>V13*W13*X13</f>
        <v/>
      </c>
      <c r="AD13" t="inlineStr">
        <is>
          <t>2</t>
        </is>
      </c>
      <c r="AE13">
        <f>AE12+AD13</f>
        <v/>
      </c>
      <c r="AG13" t="inlineStr">
        <is>
          <t xml:space="preserve">HC420/780DP </t>
        </is>
      </c>
      <c r="AH13" t="n">
        <v>1180</v>
      </c>
      <c r="AI13" t="n">
        <v>350</v>
      </c>
      <c r="AJ13" t="n">
        <v>1.5</v>
      </c>
      <c r="AK13" t="n">
        <v>14</v>
      </c>
      <c r="AN13" t="n">
        <v>7.85</v>
      </c>
      <c r="AO13">
        <f>AH13*AI13*AJ13/1000*AN13/AK13</f>
        <v/>
      </c>
      <c r="AP13" t="n">
        <v>199</v>
      </c>
    </row>
    <row r="14">
      <c r="A14" t="n">
        <v>13</v>
      </c>
      <c r="I14" t="inlineStr">
        <is>
          <t>链接EBOM</t>
        </is>
      </c>
      <c r="J14" t="inlineStr">
        <is>
          <t>空心踏板臂-左/右</t>
        </is>
      </c>
      <c r="K14" t="n">
        <v>1</v>
      </c>
      <c r="L14" t="inlineStr">
        <is>
          <t>自制</t>
        </is>
      </c>
      <c r="M14" t="inlineStr">
        <is>
          <t>冲压</t>
        </is>
      </c>
      <c r="O14" t="inlineStr">
        <is>
          <t>成型</t>
        </is>
      </c>
      <c r="P14" t="inlineStr">
        <is>
          <t>JH21-250</t>
        </is>
      </c>
      <c r="Q14" t="n">
        <v>1</v>
      </c>
      <c r="R14" t="n">
        <v>8</v>
      </c>
      <c r="S14" t="n">
        <v>2</v>
      </c>
      <c r="T14">
        <f>R14/S14</f>
        <v/>
      </c>
      <c r="U14" t="n">
        <v>0.85</v>
      </c>
      <c r="V14">
        <f>3600*U14/T14</f>
        <v/>
      </c>
      <c r="W14" t="n">
        <v>1</v>
      </c>
      <c r="X14" t="n">
        <v>20</v>
      </c>
      <c r="Y14">
        <f>V14*W14*X14</f>
        <v/>
      </c>
      <c r="AG14" t="inlineStr">
        <is>
          <t>/</t>
        </is>
      </c>
    </row>
    <row r="15">
      <c r="A15" t="n">
        <v>14</v>
      </c>
      <c r="I15" t="inlineStr">
        <is>
          <t>链接EBOM</t>
        </is>
      </c>
      <c r="J15" t="inlineStr">
        <is>
          <t>空心踏板臂-左/右</t>
        </is>
      </c>
      <c r="K15" t="n">
        <v>1</v>
      </c>
      <c r="L15" t="inlineStr">
        <is>
          <t>自制</t>
        </is>
      </c>
      <c r="M15" t="inlineStr">
        <is>
          <t>冲压</t>
        </is>
      </c>
      <c r="O15" t="inlineStr">
        <is>
          <t>翻边</t>
        </is>
      </c>
      <c r="P15" t="inlineStr">
        <is>
          <t>JH21-250</t>
        </is>
      </c>
      <c r="Q15" t="n">
        <v>1</v>
      </c>
      <c r="R15" t="n">
        <v>8</v>
      </c>
      <c r="S15" t="n">
        <v>2</v>
      </c>
      <c r="T15">
        <f>R15/S15</f>
        <v/>
      </c>
      <c r="U15" t="n">
        <v>0.85</v>
      </c>
      <c r="V15">
        <f>3600*U15/T15</f>
        <v/>
      </c>
      <c r="W15" t="n">
        <v>1</v>
      </c>
      <c r="X15" t="n">
        <v>20</v>
      </c>
      <c r="Y15">
        <f>V15*W15*X15</f>
        <v/>
      </c>
      <c r="AG15" t="inlineStr">
        <is>
          <t>/</t>
        </is>
      </c>
    </row>
    <row r="16">
      <c r="A16" t="n">
        <v>15</v>
      </c>
      <c r="I16" t="inlineStr">
        <is>
          <t>链接EBOM</t>
        </is>
      </c>
      <c r="J16" t="inlineStr">
        <is>
          <t>空心踏板臂-左/右</t>
        </is>
      </c>
      <c r="K16" t="n">
        <v>1</v>
      </c>
      <c r="L16" t="inlineStr">
        <is>
          <t>自制</t>
        </is>
      </c>
      <c r="M16" t="inlineStr">
        <is>
          <t>冲压</t>
        </is>
      </c>
      <c r="O16" t="inlineStr">
        <is>
          <t>冲孔</t>
        </is>
      </c>
      <c r="P16" t="inlineStr">
        <is>
          <t>JH21-250</t>
        </is>
      </c>
      <c r="Q16" t="n">
        <v>1</v>
      </c>
      <c r="R16" t="n">
        <v>8</v>
      </c>
      <c r="S16" t="n">
        <v>2</v>
      </c>
      <c r="T16">
        <f>R16/S16</f>
        <v/>
      </c>
      <c r="U16" t="n">
        <v>0.85</v>
      </c>
      <c r="V16">
        <f>3600*U16/T16</f>
        <v/>
      </c>
      <c r="W16" t="n">
        <v>1</v>
      </c>
      <c r="X16" t="n">
        <v>20</v>
      </c>
      <c r="Y16">
        <f>V16*W16*X16</f>
        <v/>
      </c>
      <c r="AG16" t="inlineStr">
        <is>
          <t>/</t>
        </is>
      </c>
    </row>
    <row r="17">
      <c r="G17" t="inlineStr">
        <is>
          <t>1.4.1.1.1.1</t>
        </is>
      </c>
      <c r="J17" t="inlineStr">
        <is>
          <t>冲压原材料</t>
        </is>
      </c>
    </row>
    <row r="18">
      <c r="F18" t="inlineStr">
        <is>
          <t>1.4.1.1.2</t>
        </is>
      </c>
      <c r="H18" t="inlineStr">
        <is>
          <t>41196B000003</t>
        </is>
      </c>
      <c r="I18" t="inlineStr">
        <is>
          <t>链接EBOM</t>
        </is>
      </c>
      <c r="J18" t="inlineStr">
        <is>
          <t>空心踏板臂-右</t>
        </is>
      </c>
      <c r="K18" t="n">
        <v>1</v>
      </c>
      <c r="L18" t="inlineStr">
        <is>
          <t>自制</t>
        </is>
      </c>
      <c r="M18" t="inlineStr">
        <is>
          <t>冲压</t>
        </is>
      </c>
      <c r="O18" t="inlineStr">
        <is>
          <t>落料</t>
        </is>
      </c>
      <c r="P18" t="inlineStr">
        <is>
          <t>JH21-250</t>
        </is>
      </c>
      <c r="Q18" t="n">
        <v>1</v>
      </c>
      <c r="R18" t="n">
        <v>6</v>
      </c>
      <c r="S18" t="n">
        <v>1</v>
      </c>
      <c r="T18">
        <f>R18/S18</f>
        <v/>
      </c>
      <c r="U18" t="n">
        <v>0.85</v>
      </c>
      <c r="V18">
        <f>3600*U18/T18</f>
        <v/>
      </c>
      <c r="W18" t="n">
        <v>1</v>
      </c>
      <c r="X18" t="n">
        <v>20</v>
      </c>
      <c r="Y18">
        <f>V18*W18*X18</f>
        <v/>
      </c>
    </row>
    <row r="19">
      <c r="I19" t="inlineStr">
        <is>
          <t>链接EBOM</t>
        </is>
      </c>
      <c r="J19" t="inlineStr">
        <is>
          <t>空心踏板臂-左/右</t>
        </is>
      </c>
      <c r="K19" t="n">
        <v>1</v>
      </c>
      <c r="L19" t="inlineStr">
        <is>
          <t>自制</t>
        </is>
      </c>
      <c r="M19" t="inlineStr">
        <is>
          <t>冲压</t>
        </is>
      </c>
      <c r="O19" t="inlineStr">
        <is>
          <t>成型</t>
        </is>
      </c>
      <c r="P19" t="inlineStr">
        <is>
          <t>JH21-250</t>
        </is>
      </c>
      <c r="Q19" t="n">
        <v>1</v>
      </c>
      <c r="R19" t="n">
        <v>8</v>
      </c>
      <c r="S19" t="n">
        <v>2</v>
      </c>
      <c r="T19">
        <f>R19/S19</f>
        <v/>
      </c>
      <c r="U19" t="n">
        <v>0.85</v>
      </c>
      <c r="V19">
        <f>3600*U19/T19</f>
        <v/>
      </c>
      <c r="W19" t="n">
        <v>1</v>
      </c>
      <c r="X19" t="n">
        <v>20</v>
      </c>
      <c r="Y19">
        <f>V19*W19*X19</f>
        <v/>
      </c>
    </row>
    <row r="20">
      <c r="I20" t="inlineStr">
        <is>
          <t>链接EBOM</t>
        </is>
      </c>
      <c r="J20" t="inlineStr">
        <is>
          <t>空心踏板臂-左/右</t>
        </is>
      </c>
      <c r="K20" t="n">
        <v>1</v>
      </c>
      <c r="L20" t="inlineStr">
        <is>
          <t>自制</t>
        </is>
      </c>
      <c r="M20" t="inlineStr">
        <is>
          <t>冲压</t>
        </is>
      </c>
      <c r="O20" t="inlineStr">
        <is>
          <t>翻边</t>
        </is>
      </c>
      <c r="P20" t="inlineStr">
        <is>
          <t>JH21-250</t>
        </is>
      </c>
      <c r="Q20" t="n">
        <v>1</v>
      </c>
      <c r="R20" t="n">
        <v>8</v>
      </c>
      <c r="S20" t="n">
        <v>2</v>
      </c>
      <c r="T20">
        <f>R20/S20</f>
        <v/>
      </c>
      <c r="U20" t="n">
        <v>0.85</v>
      </c>
      <c r="V20">
        <f>3600*U20/T20</f>
        <v/>
      </c>
      <c r="W20" t="n">
        <v>1</v>
      </c>
      <c r="X20" t="n">
        <v>20</v>
      </c>
      <c r="Y20">
        <f>V20*W20*X20</f>
        <v/>
      </c>
    </row>
    <row r="21">
      <c r="I21" t="inlineStr">
        <is>
          <t>链接EBOM</t>
        </is>
      </c>
      <c r="J21" t="inlineStr">
        <is>
          <t>空心踏板臂-左/右</t>
        </is>
      </c>
      <c r="K21" t="n">
        <v>1</v>
      </c>
      <c r="L21" t="inlineStr">
        <is>
          <t>自制</t>
        </is>
      </c>
      <c r="M21" t="inlineStr">
        <is>
          <t>冲压</t>
        </is>
      </c>
      <c r="O21" t="inlineStr">
        <is>
          <t>冲孔</t>
        </is>
      </c>
      <c r="P21" t="inlineStr">
        <is>
          <t>JH21-250</t>
        </is>
      </c>
      <c r="Q21" t="n">
        <v>1</v>
      </c>
      <c r="R21" t="n">
        <v>8</v>
      </c>
      <c r="S21" t="n">
        <v>2</v>
      </c>
      <c r="T21">
        <f>R21/S21</f>
        <v/>
      </c>
      <c r="U21" t="n">
        <v>0.85</v>
      </c>
      <c r="V21">
        <f>3600*U21/T21</f>
        <v/>
      </c>
      <c r="W21" t="n">
        <v>1</v>
      </c>
      <c r="X21" t="n">
        <v>20</v>
      </c>
      <c r="Y21">
        <f>V21*W21*X21</f>
        <v/>
      </c>
    </row>
    <row r="22">
      <c r="G22" t="inlineStr">
        <is>
          <t>1.4.1.1.2.1</t>
        </is>
      </c>
      <c r="J22" t="inlineStr">
        <is>
          <t>冲压原材料</t>
        </is>
      </c>
    </row>
    <row r="23">
      <c r="F23" t="inlineStr">
        <is>
          <t>1.4.1.1.3</t>
        </is>
      </c>
      <c r="J23" t="inlineStr">
        <is>
          <t>焊丝</t>
        </is>
      </c>
    </row>
    <row r="24">
      <c r="A24" t="n">
        <v>16</v>
      </c>
      <c r="E24" t="inlineStr">
        <is>
          <t>1.4.1.2</t>
        </is>
      </c>
      <c r="H24" t="inlineStr">
        <is>
          <t>41196B000001</t>
        </is>
      </c>
      <c r="I24" t="inlineStr">
        <is>
          <t>链接EBOM</t>
        </is>
      </c>
      <c r="J24" t="inlineStr">
        <is>
          <t>踏板片</t>
        </is>
      </c>
      <c r="K24" t="n">
        <v>1</v>
      </c>
      <c r="L24" t="inlineStr">
        <is>
          <t>自制</t>
        </is>
      </c>
      <c r="M24" t="inlineStr">
        <is>
          <t>冲压</t>
        </is>
      </c>
      <c r="O24" t="inlineStr">
        <is>
          <t>落料成型</t>
        </is>
      </c>
      <c r="P24" t="inlineStr">
        <is>
          <t>JH21-250</t>
        </is>
      </c>
      <c r="Q24" t="n">
        <v>1</v>
      </c>
      <c r="R24" t="n">
        <v>6</v>
      </c>
      <c r="S24" t="n">
        <v>1</v>
      </c>
      <c r="T24">
        <f>R24/S24</f>
        <v/>
      </c>
      <c r="U24" t="n">
        <v>0.85</v>
      </c>
      <c r="V24">
        <f>3600*U24/T24</f>
        <v/>
      </c>
      <c r="W24" t="n">
        <v>1</v>
      </c>
      <c r="X24" t="n">
        <v>20</v>
      </c>
      <c r="Y24">
        <f>V24*W24*X24</f>
        <v/>
      </c>
      <c r="AC24" t="n">
        <v>2</v>
      </c>
      <c r="AE24">
        <f>AE11+AC24</f>
        <v/>
      </c>
      <c r="AG24" t="inlineStr">
        <is>
          <t>SAPH440</t>
        </is>
      </c>
      <c r="AH24" t="n">
        <v>1250</v>
      </c>
      <c r="AI24" t="n">
        <v>112</v>
      </c>
      <c r="AJ24" t="n">
        <v>5</v>
      </c>
      <c r="AK24" t="n">
        <v>19</v>
      </c>
      <c r="AN24" t="n">
        <v>7.85</v>
      </c>
      <c r="AO24">
        <f>AH24*AI24*AJ24/1000*AN24/AK24</f>
        <v/>
      </c>
      <c r="AP24" t="n">
        <v>214</v>
      </c>
    </row>
    <row r="25">
      <c r="F25" t="inlineStr">
        <is>
          <t>1.4.1.2.1</t>
        </is>
      </c>
      <c r="J25" t="inlineStr">
        <is>
          <t>冲压原材料</t>
        </is>
      </c>
    </row>
    <row r="26">
      <c r="A26" t="n">
        <v>17</v>
      </c>
      <c r="E26" t="inlineStr">
        <is>
          <t>1.4.1.3</t>
        </is>
      </c>
      <c r="I26" t="inlineStr">
        <is>
          <t>链接EBOM</t>
        </is>
      </c>
      <c r="J26" t="inlineStr">
        <is>
          <t>球窝罩壳-焊接</t>
        </is>
      </c>
      <c r="K26" t="n">
        <v>1</v>
      </c>
      <c r="L26" t="inlineStr">
        <is>
          <t>自制</t>
        </is>
      </c>
      <c r="M26" t="inlineStr">
        <is>
          <t>焊接</t>
        </is>
      </c>
      <c r="O26" t="inlineStr">
        <is>
          <t>保护焊</t>
        </is>
      </c>
      <c r="P26" t="inlineStr">
        <is>
          <t>MA1440</t>
        </is>
      </c>
      <c r="Q26" t="n">
        <v>1</v>
      </c>
      <c r="R26" t="n">
        <v>100</v>
      </c>
      <c r="S26" t="n">
        <v>4</v>
      </c>
      <c r="T26">
        <f>R26/S26</f>
        <v/>
      </c>
      <c r="U26" t="n">
        <v>0.85</v>
      </c>
      <c r="V26">
        <f>3600*U26/T26</f>
        <v/>
      </c>
      <c r="W26" t="n">
        <v>1</v>
      </c>
      <c r="X26" t="n">
        <v>20</v>
      </c>
      <c r="Y26">
        <f>V26*W26*X26</f>
        <v/>
      </c>
      <c r="AC26" t="n">
        <v>2</v>
      </c>
      <c r="AE26">
        <f>AE11+AC26</f>
        <v/>
      </c>
      <c r="AG26" t="inlineStr">
        <is>
          <t>/</t>
        </is>
      </c>
      <c r="AS26" t="inlineStr">
        <is>
          <t>焊丝</t>
        </is>
      </c>
      <c r="AU26" t="inlineStr">
        <is>
          <t>保护气体</t>
        </is>
      </c>
    </row>
    <row r="27">
      <c r="A27" t="n">
        <v>18</v>
      </c>
      <c r="F27" t="inlineStr">
        <is>
          <t>1.4.1.3.1</t>
        </is>
      </c>
      <c r="H27" t="inlineStr">
        <is>
          <t>41101B000112</t>
        </is>
      </c>
      <c r="I27" t="inlineStr">
        <is>
          <t>链接EBOM</t>
        </is>
      </c>
      <c r="J27" t="inlineStr">
        <is>
          <t>球窝罩壳</t>
        </is>
      </c>
      <c r="K27" t="n">
        <v>1</v>
      </c>
      <c r="L27" t="inlineStr">
        <is>
          <t>自制</t>
        </is>
      </c>
      <c r="M27" t="inlineStr">
        <is>
          <t>冲压</t>
        </is>
      </c>
      <c r="O27" t="inlineStr">
        <is>
          <t>连续冲压</t>
        </is>
      </c>
      <c r="P27" t="inlineStr">
        <is>
          <t>SP2-250</t>
        </is>
      </c>
      <c r="Q27" t="n">
        <v>1</v>
      </c>
      <c r="R27" t="n">
        <v>3</v>
      </c>
      <c r="S27" t="n">
        <v>1</v>
      </c>
      <c r="T27">
        <f>R27/S27</f>
        <v/>
      </c>
      <c r="U27" t="n">
        <v>0.75</v>
      </c>
      <c r="V27">
        <f>3600*U27/T27</f>
        <v/>
      </c>
      <c r="W27" t="n">
        <v>1</v>
      </c>
      <c r="X27" t="n">
        <v>20</v>
      </c>
      <c r="Y27">
        <f>V27*W27*X27</f>
        <v/>
      </c>
      <c r="AD27" t="n">
        <v>2</v>
      </c>
      <c r="AE27">
        <f>AE26+AD27</f>
        <v/>
      </c>
      <c r="AG27" t="inlineStr">
        <is>
          <t>SAPH440</t>
        </is>
      </c>
      <c r="AH27" t="inlineStr">
        <is>
          <t>C</t>
        </is>
      </c>
      <c r="AI27" t="n">
        <v>100</v>
      </c>
      <c r="AJ27" t="n">
        <v>2.5</v>
      </c>
      <c r="AL27" t="n">
        <v>75</v>
      </c>
      <c r="AM27" t="n">
        <v>1</v>
      </c>
      <c r="AN27" t="n">
        <v>7.85</v>
      </c>
      <c r="AO27">
        <f>AI27*AJ27*AL27/1000/AM27*AN27</f>
        <v/>
      </c>
      <c r="AP27" t="n">
        <v>68</v>
      </c>
      <c r="BH27" t="inlineStr">
        <is>
          <t>毛重未加头尾料</t>
        </is>
      </c>
    </row>
    <row r="28">
      <c r="G28" t="inlineStr">
        <is>
          <t>1.4.1.3.1.1</t>
        </is>
      </c>
      <c r="J28" t="inlineStr">
        <is>
          <t>冲压原材料</t>
        </is>
      </c>
    </row>
    <row r="29">
      <c r="F29" t="inlineStr">
        <is>
          <t>1.4.1.3.2</t>
        </is>
      </c>
      <c r="J29" t="inlineStr">
        <is>
          <t>焊丝</t>
        </is>
      </c>
    </row>
    <row r="30">
      <c r="A30" t="n">
        <v>19</v>
      </c>
      <c r="E30" t="inlineStr">
        <is>
          <t>1.4.1.4</t>
        </is>
      </c>
      <c r="H30" t="inlineStr">
        <is>
          <t>4910102070000901</t>
        </is>
      </c>
      <c r="I30" t="inlineStr">
        <is>
          <t>链接EBOM</t>
        </is>
      </c>
      <c r="J30" t="inlineStr">
        <is>
          <t>外轴</t>
        </is>
      </c>
      <c r="K30" t="n">
        <v>1</v>
      </c>
      <c r="L30" t="inlineStr">
        <is>
          <t>外购</t>
        </is>
      </c>
      <c r="M30" t="inlineStr">
        <is>
          <t>/</t>
        </is>
      </c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>
        <is>
          <t>/</t>
        </is>
      </c>
      <c r="S30" t="inlineStr">
        <is>
          <t>/</t>
        </is>
      </c>
    </row>
    <row r="31">
      <c r="E31" t="inlineStr">
        <is>
          <t>1.4.1.5</t>
        </is>
      </c>
      <c r="J31" t="inlineStr">
        <is>
          <t>焊丝</t>
        </is>
      </c>
    </row>
    <row r="32">
      <c r="A32" t="n">
        <v>20</v>
      </c>
      <c r="C32" t="n">
        <v>1.5</v>
      </c>
      <c r="H32" t="inlineStr">
        <is>
          <t>4910102070001601</t>
        </is>
      </c>
      <c r="I32" t="inlineStr">
        <is>
          <t>链接EBOM</t>
        </is>
      </c>
      <c r="J32" t="inlineStr">
        <is>
          <t>球窝垫片</t>
        </is>
      </c>
      <c r="K32" t="n">
        <v>1</v>
      </c>
      <c r="L32" t="inlineStr">
        <is>
          <t>外购</t>
        </is>
      </c>
      <c r="M32" t="inlineStr">
        <is>
          <t>/</t>
        </is>
      </c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>
        <is>
          <t>/</t>
        </is>
      </c>
      <c r="S32" t="inlineStr">
        <is>
          <t>/</t>
        </is>
      </c>
    </row>
    <row r="33">
      <c r="A33" t="n">
        <v>21</v>
      </c>
      <c r="C33" t="n">
        <v>1.6</v>
      </c>
      <c r="H33" t="inlineStr">
        <is>
          <t>503114470001</t>
        </is>
      </c>
      <c r="I33" t="inlineStr">
        <is>
          <t>链接EBOM</t>
        </is>
      </c>
      <c r="J33" t="inlineStr">
        <is>
          <t>润滑轴套</t>
        </is>
      </c>
      <c r="K33" t="n">
        <v>2</v>
      </c>
      <c r="L33" t="inlineStr">
        <is>
          <t>外购</t>
        </is>
      </c>
      <c r="M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>
        <is>
          <t>/</t>
        </is>
      </c>
      <c r="S33" t="inlineStr">
        <is>
          <t>/</t>
        </is>
      </c>
    </row>
    <row r="34">
      <c r="A34" t="n">
        <v>22</v>
      </c>
      <c r="C34" t="n">
        <v>1.7</v>
      </c>
      <c r="H34" t="inlineStr">
        <is>
          <t>4910102140001301</t>
        </is>
      </c>
      <c r="I34" t="inlineStr">
        <is>
          <t>链接EBOM</t>
        </is>
      </c>
      <c r="J34" t="inlineStr">
        <is>
          <t>回转轴</t>
        </is>
      </c>
      <c r="K34" t="n">
        <v>1</v>
      </c>
      <c r="L34" t="inlineStr">
        <is>
          <t>外购</t>
        </is>
      </c>
      <c r="M34" t="inlineStr">
        <is>
          <t>/</t>
        </is>
      </c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>
        <is>
          <t>/</t>
        </is>
      </c>
      <c r="S34" t="inlineStr">
        <is>
          <t>/</t>
        </is>
      </c>
    </row>
    <row r="35">
      <c r="A35" t="n">
        <v>23</v>
      </c>
      <c r="C35" t="n">
        <v>1.8</v>
      </c>
      <c r="H35" t="inlineStr">
        <is>
          <t>504612220002</t>
        </is>
      </c>
      <c r="I35" t="inlineStr">
        <is>
          <t>链接EBOM</t>
        </is>
      </c>
      <c r="J35" t="inlineStr">
        <is>
          <t>防松挡卡</t>
        </is>
      </c>
      <c r="K35" t="n">
        <v>1</v>
      </c>
      <c r="L35" t="inlineStr">
        <is>
          <t>外购</t>
        </is>
      </c>
      <c r="M35" t="inlineStr">
        <is>
          <t>/</t>
        </is>
      </c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>
        <is>
          <t>/</t>
        </is>
      </c>
      <c r="S35" t="inlineStr">
        <is>
          <t>/</t>
        </is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2026-08-19T13:23:48Z</dcterms:created>
  <dcterms:modified xmlns:dcterms="http://purl.org/dc/terms/" xmlns:xsi="http://www.w3.org/2001/XMLSchema-instance" xsi:type="dcterms:W3CDTF">2026-08-19T13:23:48Z</dcterms:modified>
</cp:coreProperties>
</file>